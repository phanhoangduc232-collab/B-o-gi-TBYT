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_1\Desktop\New folder (2)\"/>
    </mc:Choice>
  </mc:AlternateContent>
  <xr:revisionPtr revIDLastSave="0" documentId="13_ncr:1_{AEA8E5CA-AEB7-48B7-8758-669DC427B266}" xr6:coauthVersionLast="47" xr6:coauthVersionMax="47" xr10:uidLastSave="{00000000-0000-0000-0000-000000000000}"/>
  <bookViews>
    <workbookView xWindow="0" yWindow="465" windowWidth="19200" windowHeight="15135" xr2:uid="{00000000-000D-0000-FFFF-FFFF00000000}"/>
  </bookViews>
  <sheets>
    <sheet name="Phụ lục I Báo giá" sheetId="2" r:id="rId1"/>
    <sheet name="Bảng dữ liệu" sheetId="8" r:id="rId2"/>
    <sheet name="Phụ lục II Báo giá bảo hành" sheetId="6" r:id="rId3"/>
    <sheet name="Phụ lục III Bảng ĐUKT" sheetId="5" r:id="rId4"/>
    <sheet name="Phụ lục IV Kê khai TSK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2" l="1"/>
  <c r="J15" i="2"/>
  <c r="J16" i="2"/>
  <c r="J17" i="2"/>
  <c r="H12" i="2"/>
  <c r="H13" i="2"/>
  <c r="H14" i="2"/>
  <c r="H15" i="2"/>
  <c r="H16" i="2"/>
  <c r="H17" i="2"/>
  <c r="G12" i="2"/>
  <c r="J12" i="2" s="1"/>
  <c r="G13" i="2"/>
  <c r="J13" i="2" s="1"/>
  <c r="G14" i="2"/>
  <c r="G15" i="2"/>
  <c r="G16" i="2"/>
  <c r="G17" i="2"/>
  <c r="B13" i="2"/>
  <c r="B14" i="2"/>
  <c r="B15" i="2"/>
  <c r="B16" i="2"/>
  <c r="B17" i="2"/>
  <c r="H11" i="2"/>
  <c r="G11" i="2"/>
  <c r="J11" i="2" s="1"/>
  <c r="B12" i="2"/>
  <c r="B11" i="2"/>
  <c r="F13" i="6"/>
</calcChain>
</file>

<file path=xl/sharedStrings.xml><?xml version="1.0" encoding="utf-8"?>
<sst xmlns="http://schemas.openxmlformats.org/spreadsheetml/2006/main" count="547" uniqueCount="341">
  <si>
    <t>STT</t>
  </si>
  <si>
    <t>CÔNG TY CỔ PHẦN THIẾT BỊ VÀ DỊCH VỤ Y TẾ VIỆT NAM</t>
  </si>
  <si>
    <t>- Những thông tin nêu trong báo giá là trung thực.</t>
  </si>
  <si>
    <t>- Không đang trong quá trình thực hiện thủ tục giải thể hoặc bị thu hồi Giấy chứng nhận đăng ký doanh nghiệp hoặc Giấy chứng nhận đăng ký hộ kinh doanh hoặc các tài liệu tương đương khác; không thuộc trường hợp mất khả năng thanh toán theo quy định của pháp luật về doanh nghiệp</t>
  </si>
  <si>
    <t>3. Chúng tôi cam kết:</t>
  </si>
  <si>
    <t>Năm sản xuất</t>
  </si>
  <si>
    <t>Xuất xứ</t>
  </si>
  <si>
    <t>Thành tiền (VNĐ)</t>
  </si>
  <si>
    <t>4. Thông tin liên hệ của đơn vị báo giá: Hotline: 0877005500/ Mr Hải: 0963961651</t>
  </si>
  <si>
    <t>Danh mục thiết bị y tế</t>
  </si>
  <si>
    <t>Địa chỉ: Số 61, thôn 6, xã Sơn Đồng, TP. Hà Nội, Việt Nam</t>
  </si>
  <si>
    <t>Hà Nội: Số A14-BT4 Bùi Xuân Phái, Phường Từ Liêm, Hà Nội</t>
  </si>
  <si>
    <t>HCM: Số 371 Nguyễn Xí, phường Bình Lợi Trung, TP.Hồ Chí Minh</t>
  </si>
  <si>
    <t>Email: vnmedica.phongsale@gmail.com</t>
  </si>
  <si>
    <t>Kính gửi: Bệnh viện E</t>
  </si>
  <si>
    <t>BẢNG BÁO GIÁ THIẾT BỊ</t>
  </si>
  <si>
    <t>1. Báo giá:</t>
  </si>
  <si>
    <t>Ký, mã, nhãn hiệu, Model</t>
  </si>
  <si>
    <t>Hãng sản xuất</t>
  </si>
  <si>
    <t>Số lượng</t>
  </si>
  <si>
    <t>Đơn vị tính</t>
  </si>
  <si>
    <t>Đơn giá đã bao gồm (Thuế, phí, lệ phí (nếu có) và Chi phí cho các dịch vụ liên quan)</t>
  </si>
  <si>
    <t>2. Báo giá này có hiệu lực trong vòng: 180 ngày kể từ ngày 29 tháng 7 năm 2026;</t>
  </si>
  <si>
    <t>Máy điện tim ≥ 12 kênh</t>
  </si>
  <si>
    <t>Hệ thống thăm dò chức năng hô hấp bằng phương pháp dao động xung ký</t>
  </si>
  <si>
    <t>Máy điện tim</t>
  </si>
  <si>
    <t>Máy đo chức năng hô hấp</t>
  </si>
  <si>
    <t>STT trong yêu cầu báo giá</t>
  </si>
  <si>
    <t>Tên danh mục trong yêu cầu báo giá</t>
  </si>
  <si>
    <t>Tính năng kỹ thuật trong yêu cầu báo giá</t>
  </si>
  <si>
    <t xml:space="preserve">Tên thương mại hàng hóa </t>
  </si>
  <si>
    <t>Thông số đáp ứng (1)</t>
  </si>
  <si>
    <t>Thông số không đáp ứng (2)</t>
  </si>
  <si>
    <t>Thông số kỹ thuật tương đương hoặc tốt hơn yêu cầu mời chào giá (3)</t>
  </si>
  <si>
    <t>Thuyết minh cho trường hợp (2), (3)</t>
  </si>
  <si>
    <t>Tài liệu tham chiếu</t>
  </si>
  <si>
    <t>Yêu cầu báo giá</t>
  </si>
  <si>
    <t xml:space="preserve">Thông số kỹ thuật hàng hóa chào giá </t>
  </si>
  <si>
    <t>BẢNG ĐÁP ỨNG KỸ THUẬT HÀNG HÓA CHÀO GIÁ</t>
  </si>
  <si>
    <t>TB04</t>
  </si>
  <si>
    <t>Máy chính được sản xuất từ năm 2026 trở đi, mới 100%.</t>
  </si>
  <si>
    <t>Nhà sản xuất máy chính đạt chứng nhận: ISO 13485</t>
  </si>
  <si>
    <t>Nguồn điện sử dụng: phù hợp với tiêu chuẩn điện áp tại Việt Nam</t>
  </si>
  <si>
    <t>Nhiệt độ hoạt động tối đa ≥ 40°C</t>
  </si>
  <si>
    <t>Độ ẩm hoạt động tối đa ≥ 80%</t>
  </si>
  <si>
    <t>Máy điện tim ≥ 12 kênh kèm phụ kiện theo tiêu chuẩn</t>
  </si>
  <si>
    <t>Máy chính: 01 cái</t>
  </si>
  <si>
    <t>Dây nối điện tim: 01 cái</t>
  </si>
  <si>
    <t xml:space="preserve">Dây nguồn: 01 cái </t>
  </si>
  <si>
    <t>Điện cực trước ngực: 06 quả</t>
  </si>
  <si>
    <t xml:space="preserve">Điện cực chi: 04 cái </t>
  </si>
  <si>
    <t>Ắc quy: 01 cái</t>
  </si>
  <si>
    <t>Giấy in: 01 tập</t>
  </si>
  <si>
    <t>Xe đẩy : 01 cái</t>
  </si>
  <si>
    <t>Tài liệu hướng dẫn sử dụng Tiếng Việt và Tiếng Anh: 01 bộ</t>
  </si>
  <si>
    <t>Kiểu hiển thị: Màn hình màu, kích thước  ≥ 8 inches</t>
  </si>
  <si>
    <t xml:space="preserve">Dạng sóng điện tim: ít nhất 12 đạo trình; </t>
  </si>
  <si>
    <t>Ghi đạo trình tối đa: ≥ 12 đạo trình</t>
  </si>
  <si>
    <t xml:space="preserve">Tần số đáp ứng: Từ ≤ 0.05 Hz đến ≥ 150 Hz </t>
  </si>
  <si>
    <t>Nhiễu trong: ≤ 20μVp-v (Vp-p)</t>
  </si>
  <si>
    <t xml:space="preserve">Bộ lọc nhiễu xoay chiều: 50/60 Hz </t>
  </si>
  <si>
    <t xml:space="preserve">Có bộ lọc chống trôi </t>
  </si>
  <si>
    <t>Độ nhạy: tối thiểu 3 mức lựa chọn</t>
  </si>
  <si>
    <t>Số kênh:  ≥ 12 kênh</t>
  </si>
  <si>
    <t>Tốc độ giấy: Có lựa chọn tốc độ tối thiểu ≥ 2 mức</t>
  </si>
  <si>
    <t xml:space="preserve">Giấy ghi: độ rộng giấy ≥ 210 mm </t>
  </si>
  <si>
    <t xml:space="preserve">Có chức năng ghi mở rộng </t>
  </si>
  <si>
    <t>Dữ liệu ghi: Tối thiểu ghi dạng sóng điện tim, ngày tháng và thời gian, tên đạo trình, tên bệnh viện, thông tin bệnh nhân.</t>
  </si>
  <si>
    <t>Có chương trình phân tích điện tim.</t>
  </si>
  <si>
    <t>Mục tìm kết quả: ≥ 200 mục</t>
  </si>
  <si>
    <t>Đối tượng bệnh nhân: người lớn, trẻ em, trẻ sơ sinh</t>
  </si>
  <si>
    <t>Có khả năng kết nối và truyền dữ liệu qua máy tính</t>
  </si>
  <si>
    <t>Có khả năng nâng cấp ≥ 18 đạo trình</t>
  </si>
  <si>
    <t>Pin/ Ắc qui sạc lại được, có thời gian hoạt động: ≥ 180 phút</t>
  </si>
  <si>
    <t>Cổng giao diện:</t>
  </si>
  <si>
    <t>+ Có ≥ 01 cổng USB hoặc khe cắm thẻ SD;</t>
  </si>
  <si>
    <t>+ Có ≥ 01 cổng mạng LAN</t>
  </si>
  <si>
    <t>Có bàn phím đánh chữ</t>
  </si>
  <si>
    <t>Dữ liệu dạng sóng điện tim có thể lưu lại: ≥ 2 phút</t>
  </si>
  <si>
    <t>- Có khả năng kết nối hệ thống phần mềm quản lý của Bệnh viện, có kết nối mạng không dây</t>
  </si>
  <si>
    <t>Thời gian giao hàng: ≤ 150 ngày. Địa điểm giao hàng: Bệnh viện E - 89 Trần Cung, Hà Nội</t>
  </si>
  <si>
    <t>Bảo hành miễn phí: ≥ 12 tháng. Cam kết thực hiện bảo trì định kỳ trong thời gian bảo hành: Bảo trì theo quy định của nhà sản xuất</t>
  </si>
  <si>
    <t xml:space="preserve">Bảo trì miễn phí sau thời gian bảo hành: ≥ 12 tháng. </t>
  </si>
  <si>
    <t>Nhà thầu chịu trách nhiệm lắp đặt, chạy thử, bàn giao và hướng dẫn vận hành cho đơn vị sử dụng thành thạo, hướng dẫn việc bảo quản hệ thống máy, cảnh báo sự cố.</t>
  </si>
  <si>
    <t>Cam kết cung cấp đầy đủ phụ kiện tiêu chuẩn cho thiết bị hoạt động bình thường.</t>
  </si>
  <si>
    <t>Cam kết cung cấp đầy đủ hồ sơ và các tài liệu khác theo quy định đối với thiết bị nhập khẩu.</t>
  </si>
  <si>
    <t>Cam kết cung cấp phụ tùng thay thế trong vòng tối thiểu 08 năm sau khi bàn giao nghiệm thu thiết bị .</t>
  </si>
  <si>
    <t>Cam kết giải quyết sự cố trong vòng 48 tiếng phải cử kỹ sư có chuyên môn đến khi có yêu cầu.</t>
  </si>
  <si>
    <t>Cung cấp báo giá dịch vụ bảo hành bảo dưỡng, linh phụ kiện thay thế và cam kết mức giá không thay đổi trong 3 năm tiếp theo</t>
  </si>
  <si>
    <t>Thiết bị được sản xuất từ năm 2026 trở đi, mới 100%.</t>
  </si>
  <si>
    <t>Nhiệt độ hoạt động tối đa ≥ 30°C</t>
  </si>
  <si>
    <t>Độ ẩm hoạt động tối đa ≥ 70%</t>
  </si>
  <si>
    <t>Hệ thống thăm dò chức năng hô hấp bằng phương pháp dao động xung ký kèm phụ kiện theo tiêu chuẩn, bao gồm:</t>
  </si>
  <si>
    <t>Máy chính: 01 chiếc</t>
  </si>
  <si>
    <t>Phụ kiện đi kèm tối thiểu gồm:</t>
  </si>
  <si>
    <t>Cảm biến lưu lượng: 01 cái</t>
  </si>
  <si>
    <t>Bộ phát xung: 01 bộ</t>
  </si>
  <si>
    <t>Bộ cảm biến môi trường: 01 bộ</t>
  </si>
  <si>
    <t>Bơm hiệu chuẩn: 01 cái</t>
  </si>
  <si>
    <t>Trở kháng tham chiếu: 01 cái</t>
  </si>
  <si>
    <t>Tấm cắn nhựa: 50 cái</t>
  </si>
  <si>
    <t>Ống thổi có phin lọc khuẩn: 400 cái</t>
  </si>
  <si>
    <t>Kẹp mũi dùng một lần: 400 cái</t>
  </si>
  <si>
    <t>Bộ máy tính để bàn kèm phụ kiện: 01 bộ</t>
  </si>
  <si>
    <t>Máy in màu: 01 cái</t>
  </si>
  <si>
    <t>Phần mềm phân tích, xử lý dữ liệu: 01 bộ</t>
  </si>
  <si>
    <t>Xe đẩy: 01 cái</t>
  </si>
  <si>
    <t>Tài liệu hướng dẫn sử dụng tiếng Anh và bản dịch tiếng Việt: 01 bộ</t>
  </si>
  <si>
    <t>Máy dùng để đo dao động xung ký (IOS) di động hoặc cố định, dùng cho trẻ em, người lớn và người cao tuổi.</t>
  </si>
  <si>
    <t>Thiết bị có thể thực hiện được tối thiểu các bài đo: Hô hấp ký; kháng lực đường thở bằng dao động xung ký...</t>
  </si>
  <si>
    <t>Đánh giá và phân biệt chức năng đường thở trong điều kiện thở bình thường.</t>
  </si>
  <si>
    <t>Có chức năng dự đoán giá trị đo dựa trên các tiêu chí như tuổi, chiều cao, giới tính của bệnh nhân.</t>
  </si>
  <si>
    <t>Cho phép phân biệt đường thở trung tâm và ngoại biên bằng cách đo kháng lực và phản lực đường thở ở nhiều tần số.</t>
  </si>
  <si>
    <t>Có thể đo và tính toán bằng phần mềm được tối thiểu các thông số như sau:</t>
  </si>
  <si>
    <t>Thể tích dự trữ thở ra ERV</t>
  </si>
  <si>
    <t>Thể tích dự trữ hít vào IRV</t>
  </si>
  <si>
    <t>Dung tích sống tối đa VC MAX</t>
  </si>
  <si>
    <t>Dung tích hít vào IC</t>
  </si>
  <si>
    <t>Dung tích thở ra gắng sức sau 1 giây FEV1</t>
  </si>
  <si>
    <t>Dung tích thở ra gắng sức FVC</t>
  </si>
  <si>
    <t>Lưu lượng đỉnh thì thở ra PEF</t>
  </si>
  <si>
    <t>Kết quả đo hiển thị dưới dạng con số và đồ thị.</t>
  </si>
  <si>
    <t>Có chức năng diễn giải kết quả đo.</t>
  </si>
  <si>
    <t>Có chức năng tự động kiểm tra khi khởi động.</t>
  </si>
  <si>
    <t>Có chức năng hiệu chỉnh máy.</t>
  </si>
  <si>
    <t>Có thể in hoặc xóa kết quả đo, truyền kết quả đo.</t>
  </si>
  <si>
    <t>Có chức năng cảm biến tự động đo các thông số nhiệt độ, độ ẩm, áp suất không khí môi trường.</t>
  </si>
  <si>
    <t>Có chức năng chẩn đoán bệnh phổi tắc nghẽn mãn tính COPD</t>
  </si>
  <si>
    <t>- Dải đo: ≥ ±2 kPa (±15 cmH2O)</t>
  </si>
  <si>
    <t>- Sai số cho phép: ≤ ± 3%</t>
  </si>
  <si>
    <t>Có trở kháng tham chiếu phục vụ công tác chuẩn hóa thiết bị</t>
  </si>
  <si>
    <t>Xi lanh (bơm tiêm) hiệu chuẩn thể tích ≥ 3 lít</t>
  </si>
  <si>
    <t>Tương thích với máy chính, đảm bảo hiệu suất lọc khuẩn/virus cao (≥ 99.9%) và khoảng chết thấp, không ảnh hưởng đến kết quả đo của trẻ em.</t>
  </si>
  <si>
    <t>Bộ máy tính để bàn</t>
  </si>
  <si>
    <t>CPU: loại Core i5 hoặc tương đương trở lên</t>
  </si>
  <si>
    <t>RAM: ≥ 8GB</t>
  </si>
  <si>
    <t>Dung lượng ổ cứng HDD: ≥ 512GB hoặc SSD ≥ 256 GB</t>
  </si>
  <si>
    <t>Bàn phím, chuột quang</t>
  </si>
  <si>
    <t>Màn hình máy tính LCD, kích thước ≥ 21”</t>
  </si>
  <si>
    <t>Hệ điều hành và phần mềm bản quyền tích hợp</t>
  </si>
  <si>
    <t>Tốc độ in màu ≥ 16 trang / phút</t>
  </si>
  <si>
    <t>Độ phân giải ≥ 500 x 500dpi</t>
  </si>
  <si>
    <t>TB 15</t>
  </si>
  <si>
    <t>I. Yêu cầu chung</t>
  </si>
  <si>
    <t>II. Yêu cầu cấu hình (cho 01 thiết bị):</t>
  </si>
  <si>
    <t>III. Yêu cầu kỹ thuật</t>
  </si>
  <si>
    <t>A. Tính năng chung</t>
  </si>
  <si>
    <t>B. Thông số kỹ thuật</t>
  </si>
  <si>
    <t>1. Đo áp lực</t>
  </si>
  <si>
    <t>2. Hệ thống hiệu chuẩn</t>
  </si>
  <si>
    <t>3. Bộ lọc khuẩn</t>
  </si>
  <si>
    <t>4. Bộ máy tính để bàn</t>
  </si>
  <si>
    <t>5. Máy in màu</t>
  </si>
  <si>
    <t>IV. Yêu cầu khác</t>
  </si>
  <si>
    <t>I. Đáp ứng yêu cầu chung</t>
  </si>
  <si>
    <t>Cam kết cung cấp</t>
  </si>
  <si>
    <t>Nhiệt độ hoạt động tối đa 34°C</t>
  </si>
  <si>
    <t>Độ ẩm hoạt động tối đa 80%</t>
  </si>
  <si>
    <t>II. Đáp ứng yêu cầu cấu hình (cho 01 thiết bị):</t>
  </si>
  <si>
    <t>Phụ kiện đi kèm gồm:</t>
  </si>
  <si>
    <t>Bộ máy tính để bàn kèm phụ kiện: 01 bộ (Mua tại Việt Nam)</t>
  </si>
  <si>
    <t>Máy in màu: 01 cái (Mua tại Việt Nam)</t>
  </si>
  <si>
    <t>Xe đẩy: 01 cái (Mua tại Việt Nam)</t>
  </si>
  <si>
    <t>III. Đáp ứng yêu cầu kỹ thuật</t>
  </si>
  <si>
    <t>Thiết bị có thể thực hiện được các bài đo: Hô hấp ký; kháng lực đường thở bằng dao động xung ký...</t>
  </si>
  <si>
    <t>Brochure Vyntus IOS Trang 6: Spirometric and airway resistance diagnostics in one device</t>
  </si>
  <si>
    <t>Brochure Vyntus IOS  trang 11: Ambient conditions
Temperature +10 °C to +34 °C</t>
  </si>
  <si>
    <t>Brochure Vyntus IOS  trang 11: Ambient conditions
Rel. humidity 20 to 80 % RH, non-condensing</t>
  </si>
  <si>
    <t>Brochure Vyntus IOS trang 6: Assessment and differentiation of airway function under quiet breathing conditions.</t>
  </si>
  <si>
    <t xml:space="preserve">SentrySuite Online Manual - Predicted Values and Predicted Value Editor  trang 2: Hình ảnh </t>
  </si>
  <si>
    <t>Brochure Vyntus IOS Trang 6: Allows differentiation of central and peripheral airways by measuring airway resistance and reactance at multiple frequencies</t>
  </si>
  <si>
    <t>Có thể đo và tính toán bằng phần mềm được các thông số như sau:</t>
  </si>
  <si>
    <t>SentrySuite Online Manual - Slow Spirometry/Flow-Volume/MVV trang 6</t>
  </si>
  <si>
    <t>SentrySuite Online Manual - Slow Spirometry/Flow-Volume/MVV trang 14</t>
  </si>
  <si>
    <t>Brochure Vyntus IOS trang 5: hình ảnh</t>
  </si>
  <si>
    <t xml:space="preserve">Brochure Vyntus IOS trang 6: Tidal breathing analysis with Impulse Oscillometry (IOS) has proven to be an informative and meaningful tool used in the early detection and follow up of pulmonary diseases like asthma,  COPD and idiopathic pulmonary fibrosis. </t>
  </si>
  <si>
    <t xml:space="preserve">  - Dải đo:  ±2 kPa (±20.39 cmH2O) </t>
  </si>
  <si>
    <t xml:space="preserve">  - Sai số cho phép: ± 2% </t>
  </si>
  <si>
    <t>Brochure Vyntus IOS trang 10: Mouth pressure Vyntus IOS:   Range ± 2 kPa (± 15 mmHg)</t>
  </si>
  <si>
    <t>Brochure Vyntus IOS trang 10: Mouth pressure Vyntus IOS:   Accuracy ± 2 %</t>
  </si>
  <si>
    <t xml:space="preserve">Brochure Vyntus IOS trang 10: System verification </t>
  </si>
  <si>
    <t>Brochure Vyntus IOS trang 10:  Calibration syringe</t>
  </si>
  <si>
    <t>Xi lanh (bơm tiêm) hiệu chuẩn thể tích 3 lít</t>
  </si>
  <si>
    <t>IV. Đáp ứng yêu cầu khác</t>
  </si>
  <si>
    <t>Thời gian giao hàng: 150 ngày. Địa điểm giao hàng: Bệnh viện E - 89 Trần Cung, Hà Nội</t>
  </si>
  <si>
    <t>Bảo hành miễn phí: 12 tháng. Cam kết thực hiện bảo trì định kỳ trong thời gian bảo hành: Bảo trì theo quy định của nhà sản xuất</t>
  </si>
  <si>
    <t xml:space="preserve">Bảo trì miễn phí sau thời gian bảo hành: 12 tháng. </t>
  </si>
  <si>
    <t>Cam kết cung cấp phụ tùng thay thế trong vòng 08 năm sau khi bàn giao nghiệm thu thiết bị .</t>
  </si>
  <si>
    <r>
      <t>Máy dùng để đo dao động xung ký (IOS)</t>
    </r>
    <r>
      <rPr>
        <sz val="12"/>
        <color theme="1"/>
        <rFont val="Times New Roman"/>
        <family val="1"/>
      </rPr>
      <t xml:space="preserve"> di động hoặc cố định</t>
    </r>
    <r>
      <rPr>
        <sz val="12"/>
        <color rgb="FF000000"/>
        <rFont val="Times New Roman"/>
        <family val="1"/>
      </rPr>
      <t>, dùng cho trẻ em, người lớn và người cao tuổi.</t>
    </r>
  </si>
  <si>
    <r>
      <t xml:space="preserve">Brochure Vyntus IOS trang 6:  </t>
    </r>
    <r>
      <rPr>
        <i/>
        <sz val="12"/>
        <color theme="1"/>
        <rFont val="Times New Roman"/>
        <family val="1"/>
      </rPr>
      <t xml:space="preserve">Tidal breathing analysis with Impulse Oscillometry (IOS)
IOS is almost independent of patient cooperation and can test a larger patient range than  spirometry alone, from children, adult and geriatric patients. </t>
    </r>
    <r>
      <rPr>
        <sz val="12"/>
        <color theme="1"/>
        <rFont val="Times New Roman"/>
        <family val="1"/>
      </rPr>
      <t xml:space="preserve">
Instructions for Use Vyntus IOS trang 7: Vyntus IOS
</t>
    </r>
    <r>
      <rPr>
        <i/>
        <sz val="12"/>
        <color theme="1"/>
        <rFont val="Times New Roman"/>
        <family val="1"/>
      </rPr>
      <t>The Vyntus IOS consists of the basic module, the IOS pneumotach and the IOS head.</t>
    </r>
    <r>
      <rPr>
        <sz val="12"/>
        <color theme="1"/>
        <rFont val="Times New Roman"/>
        <family val="1"/>
      </rPr>
      <t xml:space="preserve"> + Xe đẩy: 01 cái (Mua tại Việt Nam)</t>
    </r>
  </si>
  <si>
    <t>Instructions for Use trang 86:  Auto Interpretation</t>
  </si>
  <si>
    <t>Instructions for Use trang 17:  System Start and Automatic Self-Test</t>
  </si>
  <si>
    <t>Instructions for Use trang 24: Volume Calibration</t>
  </si>
  <si>
    <t>Instructions for Use trang 22: USB Ambient Unit</t>
  </si>
  <si>
    <t>Tương thích với máy chính, đảm bảo hiệu suất lọc khuẩn/virus cao (99.9999%) và khoảng chết thấp, không ảnh hưởng đến kết quả đo của trẻ em.</t>
  </si>
  <si>
    <r>
      <t xml:space="preserve">Disposables and Accessories Catalog trang 12: The following parts are suitable for these products:  Vyntus IOS 
</t>
    </r>
    <r>
      <rPr>
        <i/>
        <sz val="12"/>
        <color theme="1"/>
        <rFont val="Times New Roman"/>
        <family val="1"/>
      </rPr>
      <t>MicroGard® II Bacterial/Viral Filter</t>
    </r>
    <r>
      <rPr>
        <sz val="12"/>
        <color theme="1"/>
        <rFont val="Times New Roman"/>
        <family val="1"/>
      </rPr>
      <t xml:space="preserve">
Brochure MicroGard trang 2: </t>
    </r>
    <r>
      <rPr>
        <i/>
        <sz val="12"/>
        <color theme="1"/>
        <rFont val="Times New Roman"/>
        <family val="1"/>
      </rPr>
      <t>99.9999% viral and bacterial efficiency against cross contamination
  Minimal effective dead space (55 mL)
 MicroGard® IIB with integrated oval shaped mouthpiece suitable for adult and pediatric use.</t>
    </r>
  </si>
  <si>
    <t>1. Hiển thị:</t>
  </si>
  <si>
    <t>2. Thu nhận tín hiệu</t>
  </si>
  <si>
    <t xml:space="preserve">3. Xử lý tín hiệu  </t>
  </si>
  <si>
    <t xml:space="preserve">4. Ghi </t>
  </si>
  <si>
    <t xml:space="preserve">5. Phân tích điện tim </t>
  </si>
  <si>
    <t xml:space="preserve">B. Các tính năng khác </t>
  </si>
  <si>
    <t>Operator manual trang A-1 mục A.1.2 Environmental Specifications
Operating condition
Temperature 5ºC to 40ºC</t>
  </si>
  <si>
    <t>Operator manual trang A-1 mục A.1.2 Environmental Specifications
Operating condition
Relative humidity 15% to 95%, non-condensing</t>
  </si>
  <si>
    <t>Độ ẩm hoạt động tối đa 95%</t>
  </si>
  <si>
    <t>Nhiệt độ hoạt động tối đa 40°C</t>
  </si>
  <si>
    <t>Máy điện tim  12 kênh kèm phụ kiện theo tiêu chuẩn</t>
  </si>
  <si>
    <t>Model: Vyntus IOS
Hãng sản xuất: Jaeger Medical GmbH
Xuất xứ: Đức</t>
  </si>
  <si>
    <t>Model: BeneHeart R700
Hãng sản xuất: Shenzhen Mindray Bio-Medical Electronics Co.,Ltd.
Xuất xứ: Trung Quốc</t>
  </si>
  <si>
    <t>Kiểu hiển thị: Màn hình cảm ứng điện dung màu, kích thước 12.1 inches</t>
  </si>
  <si>
    <t xml:space="preserve">Datasheet trang 2: Display
Display type Capacitive, multi-point color touchscreen 
Display size 12.1 inches </t>
  </si>
  <si>
    <t xml:space="preserve">Datasheet trang 2: Display
Display resolution 1280×800 pixels </t>
  </si>
  <si>
    <r>
      <t xml:space="preserve">Độ phân giải màn hình: ≥ 800 x 480 </t>
    </r>
    <r>
      <rPr>
        <sz val="12"/>
        <color rgb="FFFF0000"/>
        <rFont val="Times New Roman"/>
        <family val="1"/>
      </rPr>
      <t>dots/ pixel</t>
    </r>
  </si>
  <si>
    <t xml:space="preserve">Dạng sóng điện tim: 12 đạo trình; </t>
  </si>
  <si>
    <t>Operator manual trang 3-5 mục 3.7 Main Screen Display + hình ảnh</t>
  </si>
  <si>
    <t>Ghi đạo trình tối đa: 12 đạo trình</t>
  </si>
  <si>
    <t xml:space="preserve">Datasheet trang 2: Software 
Measurement and interpretation Supports the University of Glasgow 12-lead ECG analysis program and Mindray 12-lead Resting ECG Analysis Algorithm for adults and pediatrics </t>
  </si>
  <si>
    <t xml:space="preserve">Tần số đáp ứng: Từ 0.01 Hz đến 500 Hz </t>
  </si>
  <si>
    <t xml:space="preserve">Datasheet trang 1: Measurement Specifications 
Frequency response 0.01~500Hz </t>
  </si>
  <si>
    <t xml:space="preserve">Datasheet trang 1: Measurement Specifications 
Noise level ≤12.5 μV (p-p) </t>
  </si>
  <si>
    <t xml:space="preserve">Datasheet trang 1: Measurement Specifications 
Notch filter 50 Hz, 60 Hz, OFF </t>
  </si>
  <si>
    <t xml:space="preserve">Datasheet trang 1: Measurement Specifications 
Baseline filter 0.01Hz, 0.05 Hz, 0.56 Hz </t>
  </si>
  <si>
    <t>Datasheet trang 1: Measurement Specifications 
Display sensitivity Auto, 1.25 mm/mV, 2.5 mm/mV , 5 mm/mV, 10 mm/mV, 20 mm/mV , 10/5 mm/mV, 20/10 mm/mV, (± 5%)</t>
  </si>
  <si>
    <t>Độ nhạy: 5 mức lựa chọn</t>
  </si>
  <si>
    <t>Số kênh:  12 kênh</t>
  </si>
  <si>
    <t>Operator manual trang 6-8 mục 6.8 Printing Reports
The equipment can print out the following reports:
■ Standard 12-lead ECG report</t>
  </si>
  <si>
    <t>Tốc độ giấy: Có lựa chọn tốc độ 4 mức</t>
  </si>
  <si>
    <t>Datasheet trang 2: Recorder 
Paper speed 5 mm/s, 12.5 mm/s, 25 mm/s, 50 mm/s.</t>
  </si>
  <si>
    <t xml:space="preserve">Datasheet trang 2: Recorder 
Paper type 
Thermal Z-fold A4 paper (210 mm x 295 mm)  </t>
  </si>
  <si>
    <t xml:space="preserve">Giấy ghi: độ rộng giấy  210 mm </t>
  </si>
  <si>
    <t>Operator manual trang 6-8 mục 6.8 Printing Reports
The equipment can print out the following reports:
■ Additional lead report
■ Manual report (for recorder only)
■ Rhythm report
■ Medication test report
■ Frozen waveform report
■ Review report
■ Re-analysis repor</t>
  </si>
  <si>
    <t>Dữ liệu ghi: Ghi dạng sóng điện tim, ngày tháng và thời gian, tên đạo trình, tên bệnh viện, thông tin bệnh nhân.</t>
  </si>
  <si>
    <t>Operator manual trang 6-10 mục 6.9 Viewing Printed Reports + hình ảnh
(1) Patient information
(2) Acquisition time
(10) Institution name</t>
  </si>
  <si>
    <t xml:space="preserve">Datasheet trang 2: Software 
Internal storage R700-1200 ECGs </t>
  </si>
  <si>
    <t>Mục tìm kết quả: 1200 mục</t>
  </si>
  <si>
    <t>Operator manual trang 2-1 mục 2.1.4 Intended Patient Population
The equipment can be used in both adult, pediatric and neonatal patients.</t>
  </si>
  <si>
    <t>Operator manual trang 9-1 mục 9.1 Data Communication Introduction
You can also transmit data from the equipment to a third-party system through FTP, HL7 and DICOM protocols
Operator manual trang 9-3 mục 9.8 Transmitting ECG Reports
The available format for ECG report includes PDF, PNG, JPEG, BMP, DICOM, FDA XML and MR XML</t>
  </si>
  <si>
    <t xml:space="preserve">Datasheet trang 2: Battery
Battery type: Rechargeable lithium-ion battery
Battery capacity: 8 hours of paperless recording </t>
  </si>
  <si>
    <t>+ Có 01 cổng USB;</t>
  </si>
  <si>
    <t>+ Có 01 cổng mạng LAN</t>
  </si>
  <si>
    <t>Operator manual trang 2-3, 2-4: BeneHeart R700/R70
(6) USB connector: connect USB devices, for example USB drive or barcode reader.</t>
  </si>
  <si>
    <t>Operator manual trang 2-3, 2-4: BeneHeart R700/R70
 (7) Network connector: is a standard RJ45 connector which connects the equipment to the central monitoring system (CMS) or other network devices.</t>
  </si>
  <si>
    <t>Operator manual trang 3-8 mục 3.8.1 Using the On-Screen Keyboard</t>
  </si>
  <si>
    <t>Operator manual trang 6-3 mục 6.5.1 Accessing Frozen Waveforms
At most 10 minutes of frozen waveforms can be reviewed</t>
  </si>
  <si>
    <t>Dữ liệu dạng sóng điện tim có thể lưu lại: 10 phút</t>
  </si>
  <si>
    <t>Operator manual trang 9-1 mục 9.1 Data Communication Introduction
The equipment can communicate with the CMS, eGateway or CardioVista ECG Viewer software through wired or wireless networks. You can also transmit data from the equipment to a third-party system through FTP, HL7 and DICOM protocols.</t>
  </si>
  <si>
    <t>IV. Đáp úng yêu cầu khác</t>
  </si>
  <si>
    <t>Operator manual trang 6-5 mục 6.6.1.3 Acquiring Additional Lead ECG</t>
  </si>
  <si>
    <t>Nguồn điện sử dụng: phù hợp với tiêu chuẩn điện áp tại Việt Nam
100 – 240V, 50/60Hz</t>
  </si>
  <si>
    <t>Cam kết cung cấp
Datasheet trang 2: Power
+ AC power 
Input voltage: 100 to 240 VAC
AC frequency: 50/60 Hz</t>
  </si>
  <si>
    <t>Operator manual trang A-4 mục A.7  Measurement Specifications
Lead type 12-lead</t>
  </si>
  <si>
    <r>
      <t>Dữ liệu có thể</t>
    </r>
    <r>
      <rPr>
        <sz val="12"/>
        <color rgb="FFFF0000"/>
        <rFont val="Times New Roman"/>
        <family val="1"/>
      </rPr>
      <t xml:space="preserve"> nhận </t>
    </r>
    <r>
      <rPr>
        <sz val="12"/>
        <color rgb="FF000000"/>
        <rFont val="Times New Roman"/>
        <family val="1"/>
      </rPr>
      <t>từ hệ thống ngoài, báo cáo có thể xuất dạng DICOM hoặc file PDF</t>
    </r>
  </si>
  <si>
    <t>Operator manual trang 9-3 mục 9.8 Transmitting ECG Reports
The equipment can transmit ECG reports to the hospital servers by connecting any of the CMS, eGateway, CardioVista ECG Viewer software, HL7 server, FTP server and DICOM server. 
Operator manual trang 2-3, 2-4: BeneHeart R700/R70
(6) USB connector: connect USB devices, for example USB drive or barcode reader.
(7) Network connector: is a standard RJ45 connector which connects the equipment to the central monitoring system (CMS) or other network devices.</t>
  </si>
  <si>
    <t>Pin sạc lại được, có thời gian hoạt động: 480 phút (8 tiếng)</t>
  </si>
  <si>
    <t>- Cung cấp thông tin về giá của hàng hóa, dịch vụ phù hợp với khả năng cung cấp của mình và phải bảo đảm việc cung cấp báo giá không vi phạm quy định của pháp luật về cạnh tranh, bán phá giá hoặc nâng khống giá</t>
  </si>
  <si>
    <t>BẢNG BÁO GIÁ DỊCH VỤ BẢO HÀNH, BẢO TRÌ  THIẾT BỊ SAU THỜI GIAN BẢO HÀNH TIÊU CHUẨN</t>
  </si>
  <si>
    <t>Trên cơ sở yêu cầu báo giá số RQ2600027903 ngày 15 tháng 7 năm 2026 của Bệnh viện E, chúng tôi- Công ty Cổ phần Thiết bị và Dịch vụ Y tế Việt Nam có địa chỉ tại Số nhà 61 thôn 6, xã Sơn Đồng, TP. Hà Nội, Mã số thuế: 0108936926 
Báo giá cho các dịch vụ như sau:</t>
  </si>
  <si>
    <t>Danh mục dịch vụ</t>
  </si>
  <si>
    <t>Ghi chú</t>
  </si>
  <si>
    <t>ĐẠI DIỆN ĐƠN VỊ BÁO GIÁ</t>
  </si>
  <si>
    <t>01 Hệ thống</t>
  </si>
  <si>
    <t>Đại diện hợp pháp của đơn vị chào giá</t>
  </si>
  <si>
    <t>CẤU HÌNH VÀ THÔNG SỐ KỸ THUẬT CHI TIẾT CỦA HÀNG HÓA</t>
  </si>
  <si>
    <t>Thông tin</t>
  </si>
  <si>
    <t>Đại diện hợp pháp của Đơn vị chào giá</t>
  </si>
  <si>
    <t>Hà Nội, ngày 27 tháng 7 năm 2026</t>
  </si>
  <si>
    <t>Nhiễu trong: ≤ 12.5 μV (p-p)</t>
  </si>
  <si>
    <t>Dịch vụ bảo hành, bảo trì
Máy điện tim ≥ 12 kênh
Model: BeneHeart R700
Hãng sản xuất: Shenzhen Mindray Bio-Medical Electronics Co.,Ltd.
Xuất xứ: Trung Quốc</t>
  </si>
  <si>
    <t>Dịch vụ bảo hành, bảo trì
Hệ thống thăm dò chức năng hô hấp bằng phương pháp dao động xung ký
Model: Vyntus IOS
Hãng sản xuất:  Jaeger Medical GmbH
Xuất xứ: Đức</t>
  </si>
  <si>
    <t>Gói 12 tháng</t>
  </si>
  <si>
    <r>
      <t xml:space="preserve">Độ phân giải màn hình: 1280 x 800 </t>
    </r>
    <r>
      <rPr>
        <sz val="12"/>
        <color rgb="FFFF0000"/>
        <rFont val="Times New Roman"/>
        <family val="1"/>
      </rPr>
      <t>pixel</t>
    </r>
  </si>
  <si>
    <t>Có khả năng nâng cấp 18 đạo trình (Hỗ trợ ghi các đạo trình bổ sung V3R, V4R, V5R, V7, V8, V9, cho phép thực hiện khảo sát mở rộng đến 18 đạo trình theo quy trình lâm sàng)</t>
  </si>
  <si>
    <r>
      <rPr>
        <sz val="12"/>
        <color rgb="FFFF0000"/>
        <rFont val="Times New Roman"/>
        <family val="1"/>
      </rPr>
      <t>Thiết bị có thể truyền dữ liệu đến hệ thống ngoà</t>
    </r>
    <r>
      <rPr>
        <sz val="12"/>
        <color theme="1"/>
        <rFont val="Times New Roman"/>
        <family val="1"/>
      </rPr>
      <t>i, báo cáo có thể xuất dạng DICOM hoặc file PDF</t>
    </r>
  </si>
  <si>
    <t>Instructions for Use trang 112: Report
SentrySuite Online Manual - Review trang 20:  Delete and send report</t>
  </si>
  <si>
    <t>14 Cái</t>
  </si>
  <si>
    <t>Địa chỉ:</t>
  </si>
  <si>
    <t>Mã số thuế:</t>
  </si>
  <si>
    <t>Tên công ty:</t>
  </si>
  <si>
    <t>Báo giá cho các hàng hóa như sau:</t>
  </si>
  <si>
    <t>Trên cơ sở yêu cầu báo giá số   ngày     tháng     năm    của Bệnh viện E, chúng tôi</t>
  </si>
  <si>
    <t>STT trong YCBG</t>
  </si>
  <si>
    <t>2. Báo giá này có hiệu lực trong vòng: 180 ngày kể từ ngày     tháng      năm     ;</t>
  </si>
  <si>
    <t>4. Thông tin liên hệ của đơn vị báo giá:</t>
  </si>
  <si>
    <t xml:space="preserve">	 Hà Nội, ngày    tháng    năm     </t>
  </si>
  <si>
    <t>Tên hàng hóa</t>
  </si>
  <si>
    <t>I</t>
  </si>
  <si>
    <t>Thiết bị Hồi sức - Cấp cứu</t>
  </si>
  <si>
    <t>TB 01</t>
  </si>
  <si>
    <t>Bơm tiêm điện</t>
  </si>
  <si>
    <t>Cái</t>
  </si>
  <si>
    <t>TB 02</t>
  </si>
  <si>
    <t>Bơm tiêm điện (Có kết nối từ xa, chuyên dụng cho Phòng phẫu thuật)</t>
  </si>
  <si>
    <t>TB 03</t>
  </si>
  <si>
    <t>Bơm truyền dịch</t>
  </si>
  <si>
    <t>TB 04</t>
  </si>
  <si>
    <t xml:space="preserve">Cái </t>
  </si>
  <si>
    <t>TB 05</t>
  </si>
  <si>
    <t>Máy vỗ rung lồng ngực cao tần</t>
  </si>
  <si>
    <t>II</t>
  </si>
  <si>
    <t>Thiết bị Chẩn đoán hình ảnh</t>
  </si>
  <si>
    <t>TB 06</t>
  </si>
  <si>
    <t>Máy X-quang di động kỹ thuật số DR</t>
  </si>
  <si>
    <t>TB 07</t>
  </si>
  <si>
    <t>Máy bơm tiêm điện 2 nòng (Dùng cho phòng chụp CLVT)</t>
  </si>
  <si>
    <t>TB 08</t>
  </si>
  <si>
    <t>Hệ thống máy đốt sóng cao tần (RFA)</t>
  </si>
  <si>
    <t>Hệ thống</t>
  </si>
  <si>
    <t>III</t>
  </si>
  <si>
    <t>Hệ thống Nội soi thăm dò chức năng </t>
  </si>
  <si>
    <t>TB 09</t>
  </si>
  <si>
    <t>Hệ thống nội soi tiêu hóa (Kèm Hệ thống trí tuệ nhân tạo trong nội soi và mô hình giả lập nội soi đại tràng)</t>
  </si>
  <si>
    <t>TB 10</t>
  </si>
  <si>
    <t>Hệ thống nội soi tiêu hóa (Kèm Hệ thống trí tuệ nhân tạo trong nội soi)</t>
  </si>
  <si>
    <t>IV</t>
  </si>
  <si>
    <t>Thiết bị thần kinh và sức khỏe tâm thần</t>
  </si>
  <si>
    <t>TB 11</t>
  </si>
  <si>
    <t>Máy kích thích điện một chiều xuyên sọ</t>
  </si>
  <si>
    <t>TB 12</t>
  </si>
  <si>
    <t>Máy điện não vi tính</t>
  </si>
  <si>
    <t>TB 13</t>
  </si>
  <si>
    <t>Máy lưu huyết não</t>
  </si>
  <si>
    <t>TB 14</t>
  </si>
  <si>
    <t>Máy đa ký giấc ngủ</t>
  </si>
  <si>
    <t>V</t>
  </si>
  <si>
    <t>Thiết bị hô hấp</t>
  </si>
  <si>
    <t>VI</t>
  </si>
  <si>
    <t>Thiết bị chuyên khoa Răng Hàm Mặt</t>
  </si>
  <si>
    <t>TB 16</t>
  </si>
  <si>
    <t>Máy chụp CT Conebeam</t>
  </si>
  <si>
    <t>TB 17</t>
  </si>
  <si>
    <t>Hệ thống khoan cắt xương dùng trong phẫu thuật hàm mặt</t>
  </si>
  <si>
    <t>VII</t>
  </si>
  <si>
    <t>Thiết bị chuyên khoa Mắt</t>
  </si>
  <si>
    <t>TB 18</t>
  </si>
  <si>
    <t>Máy đo thị trường</t>
  </si>
  <si>
    <r>
      <t>TB</t>
    </r>
    <r>
      <rPr>
        <sz val="13"/>
        <color rgb="FF000000"/>
        <rFont val="Times New Roman"/>
        <family val="1"/>
      </rPr>
      <t xml:space="preserve"> 19</t>
    </r>
  </si>
  <si>
    <t>Máy chụp cắt lớp võng mạc OCT</t>
  </si>
  <si>
    <t>VIII</t>
  </si>
  <si>
    <t>Thiết bị chuyên khoa Thẩm mỹ và phẫu thuật tạo hình</t>
  </si>
  <si>
    <t>TB 20</t>
  </si>
  <si>
    <t>Máy bào 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</si>
</sst>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_-* #,##0_-;\-* #,##0_-;_-* &quot;-&quot;??_-;_-@_-"/>
    <numFmt numFmtId="167" formatCode="&quot;$&quot;#,##0"/>
  </numFmts>
  <fonts count="24" x14ac:knownFonts="1">
    <font>
      <sz val="11"/>
      <color theme="1"/>
      <name val="Calibri"/>
      <family val="2"/>
      <scheme val="minor"/>
    </font>
    <font>
      <sz val="11"/>
      <color theme="1"/>
      <name val="Calibri"/>
      <family val="2"/>
      <scheme val="minor"/>
    </font>
    <font>
      <b/>
      <sz val="12"/>
      <name val="Times New Roman"/>
      <family val="1"/>
    </font>
    <font>
      <sz val="12"/>
      <name val="Times New Roman"/>
      <family val="1"/>
    </font>
    <font>
      <sz val="13"/>
      <name val="Times New Roman"/>
      <family val="1"/>
    </font>
    <font>
      <b/>
      <i/>
      <sz val="13"/>
      <name val="Times New Roman"/>
      <family val="1"/>
    </font>
    <font>
      <b/>
      <sz val="13"/>
      <name val="Times New Roman"/>
      <family val="1"/>
    </font>
    <font>
      <b/>
      <sz val="20"/>
      <name val="Times New Roman"/>
      <family val="1"/>
    </font>
    <font>
      <sz val="10"/>
      <color rgb="FF000000"/>
      <name val="Calibri"/>
      <scheme val="minor"/>
    </font>
    <font>
      <b/>
      <sz val="20"/>
      <color theme="1"/>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20"/>
      <color theme="1"/>
      <name val="Times New Roman"/>
      <family val="1"/>
    </font>
    <font>
      <i/>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b/>
      <sz val="16"/>
      <color theme="1"/>
      <name val="Times New Roman"/>
      <family val="1"/>
    </font>
    <font>
      <b/>
      <sz val="13"/>
      <color rgb="FF000000"/>
      <name val="Times New Roman"/>
      <family val="1"/>
    </font>
    <font>
      <sz val="13"/>
      <color rgb="FF000000"/>
      <name val="Times New Roman"/>
      <family val="1"/>
    </font>
    <font>
      <sz val="13"/>
      <color rgb="FFFF0000"/>
      <name val="Times New Roman"/>
      <family val="1"/>
    </font>
    <font>
      <b/>
      <sz val="18"/>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cellStyleXfs>
  <cellXfs count="115">
    <xf numFmtId="0" fontId="0" fillId="0" borderId="0" xfId="0"/>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xf numFmtId="0" fontId="2" fillId="0" borderId="0" xfId="0" applyFont="1" applyAlignment="1">
      <alignment horizontal="right"/>
    </xf>
    <xf numFmtId="0" fontId="3" fillId="0" borderId="0" xfId="0" applyFont="1" applyAlignment="1">
      <alignment horizontal="right"/>
    </xf>
    <xf numFmtId="0" fontId="4" fillId="0" borderId="0" xfId="0" applyFont="1"/>
    <xf numFmtId="0" fontId="4" fillId="0" borderId="0" xfId="0" applyFont="1" applyAlignment="1">
      <alignment horizontal="center"/>
    </xf>
    <xf numFmtId="165" fontId="4" fillId="0" borderId="0" xfId="1" applyNumberFormat="1" applyFont="1" applyFill="1"/>
    <xf numFmtId="9" fontId="4" fillId="0" borderId="0" xfId="2" applyFont="1" applyFill="1"/>
    <xf numFmtId="0" fontId="4" fillId="0" borderId="0" xfId="0" applyFont="1" applyAlignment="1">
      <alignment horizontal="left" wrapText="1"/>
    </xf>
    <xf numFmtId="0" fontId="5" fillId="0" borderId="0" xfId="0" applyFont="1" applyAlignment="1">
      <alignment horizontal="center"/>
    </xf>
    <xf numFmtId="0" fontId="6" fillId="0" borderId="0" xfId="0" applyFont="1"/>
    <xf numFmtId="0" fontId="4" fillId="0" borderId="0" xfId="0" applyFont="1" applyAlignment="1">
      <alignment horizontal="center" wrapText="1"/>
    </xf>
    <xf numFmtId="0" fontId="2" fillId="0" borderId="0" xfId="0" applyFont="1"/>
    <xf numFmtId="0" fontId="4" fillId="0" borderId="0" xfId="0" quotePrefix="1" applyFont="1"/>
    <xf numFmtId="0" fontId="6" fillId="0" borderId="0" xfId="0" applyFont="1" applyAlignment="1">
      <alignment horizontal="center"/>
    </xf>
    <xf numFmtId="165" fontId="6" fillId="0" borderId="0" xfId="1" applyNumberFormat="1" applyFont="1" applyFill="1" applyBorder="1" applyAlignment="1">
      <alignment horizontal="right"/>
    </xf>
    <xf numFmtId="0" fontId="6" fillId="0" borderId="1" xfId="0" applyFont="1" applyBorder="1" applyAlignment="1">
      <alignment horizontal="center" vertical="center" wrapText="1"/>
    </xf>
    <xf numFmtId="0" fontId="6" fillId="0" borderId="0" xfId="0" applyFont="1" applyAlignment="1">
      <alignment wrapText="1"/>
    </xf>
    <xf numFmtId="0" fontId="4" fillId="0" borderId="0" xfId="0" applyFont="1" applyAlignment="1">
      <alignment wrapText="1"/>
    </xf>
    <xf numFmtId="9" fontId="4" fillId="0" borderId="0" xfId="2" applyFont="1" applyFill="1" applyAlignment="1">
      <alignment wrapText="1"/>
    </xf>
    <xf numFmtId="0" fontId="5" fillId="0" borderId="0" xfId="0" applyFont="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right" vertical="center"/>
    </xf>
    <xf numFmtId="166" fontId="3" fillId="0" borderId="0" xfId="1" applyNumberFormat="1" applyFont="1" applyFill="1" applyBorder="1" applyAlignment="1">
      <alignment horizontal="right" vertical="center"/>
    </xf>
    <xf numFmtId="166" fontId="6" fillId="0" borderId="0" xfId="1" applyNumberFormat="1" applyFont="1" applyFill="1" applyBorder="1" applyAlignment="1">
      <alignment horizontal="right"/>
    </xf>
    <xf numFmtId="166" fontId="6" fillId="0" borderId="1" xfId="1" applyNumberFormat="1" applyFont="1" applyBorder="1" applyAlignment="1">
      <alignment horizontal="center" vertical="center" wrapText="1"/>
    </xf>
    <xf numFmtId="166" fontId="4" fillId="0" borderId="1" xfId="1" applyNumberFormat="1" applyFont="1" applyBorder="1" applyAlignment="1">
      <alignment horizontal="center" vertical="center" wrapText="1"/>
    </xf>
    <xf numFmtId="166" fontId="4" fillId="0" borderId="0" xfId="1" applyNumberFormat="1" applyFont="1" applyFill="1"/>
    <xf numFmtId="166" fontId="3" fillId="0" borderId="0" xfId="1" applyNumberFormat="1" applyFont="1" applyAlignment="1">
      <alignment horizontal="center" vertical="center" wrapText="1"/>
    </xf>
    <xf numFmtId="167" fontId="3" fillId="0" borderId="0" xfId="0" applyNumberFormat="1"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166" fontId="4" fillId="0" borderId="1" xfId="0" applyNumberFormat="1"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0"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0" fillId="2" borderId="1" xfId="0" applyFont="1" applyFill="1" applyBorder="1" applyAlignment="1">
      <alignment vertical="center" wrapText="1"/>
    </xf>
    <xf numFmtId="49" fontId="10" fillId="2" borderId="2" xfId="0" applyNumberFormat="1" applyFont="1" applyFill="1" applyBorder="1" applyAlignment="1">
      <alignment vertical="center" wrapText="1"/>
    </xf>
    <xf numFmtId="0" fontId="13" fillId="0" borderId="1" xfId="0" quotePrefix="1" applyFont="1" applyBorder="1" applyAlignment="1">
      <alignment vertical="center" wrapText="1"/>
    </xf>
    <xf numFmtId="0" fontId="13" fillId="2" borderId="1" xfId="0" applyFont="1" applyFill="1" applyBorder="1" applyAlignment="1">
      <alignment vertical="center" wrapText="1"/>
    </xf>
    <xf numFmtId="0" fontId="4" fillId="0" borderId="1" xfId="0" applyFont="1" applyBorder="1" applyAlignment="1">
      <alignment horizontal="left" vertical="center" wrapText="1"/>
    </xf>
    <xf numFmtId="0" fontId="17" fillId="0" borderId="0" xfId="0" applyFont="1" applyAlignment="1">
      <alignment vertical="center" wrapText="1"/>
    </xf>
    <xf numFmtId="0" fontId="0" fillId="0" borderId="0" xfId="0" applyAlignment="1">
      <alignment wrapText="1"/>
    </xf>
    <xf numFmtId="0" fontId="20" fillId="0" borderId="1" xfId="0" applyFont="1" applyBorder="1" applyAlignment="1">
      <alignment vertical="center" wrapText="1"/>
    </xf>
    <xf numFmtId="0" fontId="21" fillId="0" borderId="1" xfId="0" applyFont="1" applyBorder="1" applyAlignment="1">
      <alignment vertical="center" wrapText="1"/>
    </xf>
    <xf numFmtId="0" fontId="17" fillId="2" borderId="1" xfId="0" applyFont="1" applyFill="1" applyBorder="1" applyAlignment="1">
      <alignment vertical="center" wrapText="1"/>
    </xf>
    <xf numFmtId="0" fontId="18" fillId="0" borderId="1" xfId="0" applyFont="1" applyBorder="1" applyAlignment="1">
      <alignment vertical="center" wrapText="1"/>
    </xf>
    <xf numFmtId="0" fontId="22" fillId="0" borderId="1" xfId="0" applyFont="1" applyBorder="1" applyAlignment="1">
      <alignment vertical="center" wrapText="1"/>
    </xf>
    <xf numFmtId="0" fontId="21" fillId="2" borderId="1" xfId="0" applyFont="1" applyFill="1" applyBorder="1" applyAlignment="1">
      <alignment vertical="center" wrapText="1"/>
    </xf>
    <xf numFmtId="0" fontId="22" fillId="2" borderId="1" xfId="0" applyFont="1" applyFill="1" applyBorder="1" applyAlignment="1">
      <alignment vertical="center" wrapText="1"/>
    </xf>
    <xf numFmtId="0" fontId="21" fillId="0" borderId="1" xfId="0" quotePrefix="1" applyFont="1" applyBorder="1" applyAlignment="1">
      <alignment vertical="center" wrapText="1"/>
    </xf>
    <xf numFmtId="0" fontId="18"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0" xfId="0" applyFont="1" applyAlignment="1">
      <alignment horizontal="right" vertical="center" wrapText="1"/>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4" fillId="0" borderId="0" xfId="0" quotePrefix="1" applyFont="1" applyAlignment="1">
      <alignment horizontal="left" vertical="center"/>
    </xf>
    <xf numFmtId="0" fontId="4" fillId="2" borderId="1" xfId="0" applyFont="1" applyFill="1" applyBorder="1" applyAlignment="1">
      <alignment horizontal="center" vertical="center" wrapText="1"/>
    </xf>
    <xf numFmtId="0" fontId="3" fillId="3" borderId="0" xfId="0" applyFont="1" applyFill="1"/>
    <xf numFmtId="0" fontId="6" fillId="0" borderId="0" xfId="0" applyFont="1" applyAlignment="1">
      <alignment horizontal="center"/>
    </xf>
    <xf numFmtId="0" fontId="7" fillId="0" borderId="0" xfId="0" applyFont="1" applyAlignment="1">
      <alignment horizontal="center" vertical="center"/>
    </xf>
    <xf numFmtId="0" fontId="4" fillId="0" borderId="0" xfId="0" applyFont="1" applyAlignment="1">
      <alignment horizontal="left" vertical="center" wrapText="1"/>
    </xf>
    <xf numFmtId="0" fontId="4" fillId="0" borderId="0" xfId="0" quotePrefix="1"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right" vertical="center"/>
    </xf>
    <xf numFmtId="0" fontId="23" fillId="0" borderId="0" xfId="0" applyFont="1" applyAlignment="1">
      <alignment horizontal="center" vertical="center" wrapText="1"/>
    </xf>
    <xf numFmtId="165" fontId="4" fillId="0" borderId="0" xfId="1" applyNumberFormat="1" applyFont="1" applyFill="1" applyAlignment="1">
      <alignment horizontal="center"/>
    </xf>
    <xf numFmtId="0" fontId="11" fillId="0" borderId="1" xfId="0" applyFont="1" applyBorder="1" applyAlignment="1">
      <alignment horizontal="center" vertical="center" wrapText="1"/>
    </xf>
    <xf numFmtId="0" fontId="9" fillId="0" borderId="0" xfId="0" applyFont="1" applyAlignment="1">
      <alignment horizontal="center" vertical="center" wrapText="1"/>
    </xf>
    <xf numFmtId="0" fontId="14"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9" fillId="0" borderId="0" xfId="0" applyFont="1" applyAlignment="1">
      <alignment horizontal="center"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166" fontId="3" fillId="2" borderId="0" xfId="1" applyNumberFormat="1" applyFont="1" applyFill="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166" fontId="6" fillId="0" borderId="6" xfId="1" applyNumberFormat="1" applyFont="1" applyBorder="1" applyAlignment="1">
      <alignment horizontal="center" vertical="center" wrapText="1"/>
    </xf>
    <xf numFmtId="0" fontId="6" fillId="0" borderId="7" xfId="0" applyFont="1" applyBorder="1" applyAlignment="1">
      <alignment horizontal="center" vertical="center" wrapText="1"/>
    </xf>
    <xf numFmtId="0" fontId="4" fillId="2" borderId="9" xfId="0" applyFont="1" applyFill="1" applyBorder="1" applyAlignment="1">
      <alignment horizontal="center" vertical="center" wrapText="1"/>
    </xf>
    <xf numFmtId="166" fontId="4" fillId="2" borderId="4" xfId="0" applyNumberFormat="1" applyFont="1" applyFill="1" applyBorder="1" applyAlignment="1">
      <alignment horizontal="center" vertical="center" wrapText="1"/>
    </xf>
    <xf numFmtId="166" fontId="4" fillId="2" borderId="10" xfId="0" applyNumberFormat="1" applyFont="1" applyFill="1" applyBorder="1" applyAlignment="1">
      <alignment horizontal="center" vertical="center" wrapText="1"/>
    </xf>
    <xf numFmtId="0" fontId="4" fillId="3" borderId="0" xfId="0" quotePrefix="1" applyFont="1" applyFill="1" applyAlignment="1" applyProtection="1">
      <alignment horizontal="left" vertical="center"/>
      <protection locked="0"/>
    </xf>
    <xf numFmtId="0" fontId="4" fillId="3" borderId="0" xfId="0" applyFont="1" applyFill="1" applyAlignment="1" applyProtection="1">
      <alignment horizontal="left" vertical="center" wrapText="1"/>
      <protection locked="0"/>
    </xf>
    <xf numFmtId="0" fontId="4" fillId="3" borderId="3" xfId="0" applyFont="1" applyFill="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center" vertical="center" wrapText="1"/>
      <protection locked="0"/>
    </xf>
    <xf numFmtId="166" fontId="4" fillId="3" borderId="1" xfId="1" applyNumberFormat="1" applyFont="1" applyFill="1" applyBorder="1" applyAlignment="1" applyProtection="1">
      <alignment horizontal="center" vertical="center" wrapText="1"/>
      <protection locked="0"/>
    </xf>
    <xf numFmtId="166" fontId="4" fillId="3" borderId="9" xfId="1" applyNumberFormat="1" applyFont="1" applyFill="1" applyBorder="1" applyAlignment="1" applyProtection="1">
      <alignment horizontal="center" vertical="center" wrapText="1"/>
      <protection locked="0"/>
    </xf>
    <xf numFmtId="0" fontId="4" fillId="3" borderId="0" xfId="0" applyFont="1" applyFill="1" applyProtection="1">
      <protection locked="0"/>
    </xf>
    <xf numFmtId="9" fontId="4" fillId="3" borderId="0" xfId="2" applyFont="1" applyFill="1" applyProtection="1">
      <protection locked="0"/>
    </xf>
    <xf numFmtId="9" fontId="4" fillId="3" borderId="0" xfId="2" applyFont="1" applyFill="1" applyAlignment="1" applyProtection="1">
      <alignment wrapText="1"/>
      <protection locked="0"/>
    </xf>
    <xf numFmtId="9" fontId="4" fillId="3" borderId="0" xfId="2" applyFont="1" applyFill="1" applyAlignment="1" applyProtection="1">
      <alignment horizontal="center"/>
      <protection locked="0"/>
    </xf>
    <xf numFmtId="165" fontId="4" fillId="3" borderId="0" xfId="1" applyNumberFormat="1" applyFont="1" applyFill="1" applyProtection="1">
      <protection locked="0"/>
    </xf>
    <xf numFmtId="166" fontId="4" fillId="3" borderId="0" xfId="1" applyNumberFormat="1" applyFont="1" applyFill="1" applyProtection="1">
      <protection locked="0"/>
    </xf>
    <xf numFmtId="0" fontId="4" fillId="3" borderId="0" xfId="0" applyFont="1" applyFill="1" applyAlignment="1" applyProtection="1">
      <alignment wrapText="1"/>
      <protection locked="0"/>
    </xf>
    <xf numFmtId="0" fontId="4" fillId="3" borderId="0" xfId="0" applyFont="1" applyFill="1" applyAlignment="1" applyProtection="1">
      <alignment horizontal="center"/>
      <protection locked="0"/>
    </xf>
    <xf numFmtId="0" fontId="5" fillId="3" borderId="0" xfId="0" applyFont="1" applyFill="1" applyAlignment="1" applyProtection="1">
      <alignment horizontal="center"/>
      <protection locked="0"/>
    </xf>
    <xf numFmtId="0" fontId="5" fillId="3" borderId="0" xfId="0" applyFont="1" applyFill="1" applyAlignment="1" applyProtection="1">
      <alignment horizontal="center" wrapText="1"/>
      <protection locked="0"/>
    </xf>
    <xf numFmtId="165" fontId="4" fillId="3" borderId="0" xfId="1" applyNumberFormat="1" applyFont="1" applyFill="1" applyAlignment="1" applyProtection="1">
      <alignment horizontal="center"/>
      <protection locked="0"/>
    </xf>
    <xf numFmtId="0" fontId="4" fillId="0" borderId="0" xfId="0" applyFont="1" applyAlignment="1" applyProtection="1">
      <alignment horizontal="left" vertical="center" wrapText="1"/>
      <protection locked="0"/>
    </xf>
  </cellXfs>
  <cellStyles count="5">
    <cellStyle name="Comma" xfId="1" builtinId="3"/>
    <cellStyle name="Comma 2" xfId="3" xr:uid="{00000000-0005-0000-0000-000001000000}"/>
    <cellStyle name="Normal" xfId="0" builtinId="0"/>
    <cellStyle name="Normal 2" xfId="4" xr:uid="{00000000-0005-0000-0000-000030000000}"/>
    <cellStyle name="Percent" xfId="2" builtinId="5"/>
  </cellStyles>
  <dxfs count="14">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42006</xdr:rowOff>
    </xdr:from>
    <xdr:to>
      <xdr:col>0</xdr:col>
      <xdr:colOff>997716</xdr:colOff>
      <xdr:row>5</xdr:row>
      <xdr:rowOff>106220</xdr:rowOff>
    </xdr:to>
    <xdr:pic>
      <xdr:nvPicPr>
        <xdr:cNvPr id="2" name="Picture 3">
          <a:extLst>
            <a:ext uri="{FF2B5EF4-FFF2-40B4-BE49-F238E27FC236}">
              <a16:creationId xmlns:a16="http://schemas.microsoft.com/office/drawing/2014/main" id="{4DA7B641-B220-478B-AEBA-B9F3D68AF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006"/>
          <a:ext cx="997716" cy="1092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BABB-37B2-4E71-B916-057F5FA7CA07}" name="Table1" displayName="Table1" ref="A10:J17" totalsRowShown="0" headerRowDxfId="7" headerRowBorderDxfId="12" tableBorderDxfId="13" totalsRowBorderDxfId="11">
  <autoFilter ref="A10:J17" xr:uid="{36CABABB-37B2-4E71-B916-057F5FA7CA07}"/>
  <tableColumns count="10">
    <tableColumn id="1" xr3:uid="{86A64DBA-F3BB-439D-AFAB-8A69E1EE5190}" name="STT trong YCBG" dataDxfId="5"/>
    <tableColumn id="2" xr3:uid="{E6A69F78-F679-4EDD-8736-EA2C59238532}" name="Danh mục thiết bị y tế" dataDxfId="10">
      <calculatedColumnFormula>IFERROR(VLOOKUP(A11,'Bảng dữ liệu'!$A$2:$D$30,2,FALSE),"")</calculatedColumnFormula>
    </tableColumn>
    <tableColumn id="3" xr3:uid="{25083F77-9C43-4D1F-A9B5-19438A5BAC5C}" name="Ký, mã, nhãn hiệu, Model" dataDxfId="4"/>
    <tableColumn id="4" xr3:uid="{F3EE6986-4167-46D9-A473-3D1A2415547A}" name="Hãng sản xuất" dataDxfId="3"/>
    <tableColumn id="5" xr3:uid="{F355D8D5-C063-4A85-9919-B6176A7EC747}" name="Năm sản xuất" dataDxfId="2"/>
    <tableColumn id="6" xr3:uid="{996BC4EB-E46A-4BC8-A9E2-B81B70E8FE3D}" name="Xuất xứ" dataDxfId="1"/>
    <tableColumn id="7" xr3:uid="{AE0C4C45-9ECB-41C7-9D4F-463C27011649}" name="Số lượng" dataDxfId="9">
      <calculatedColumnFormula>IFERROR(VLOOKUP(A11,'Bảng dữ liệu'!$A$2:$D$30,4,FALSE),"")</calculatedColumnFormula>
    </tableColumn>
    <tableColumn id="8" xr3:uid="{D518FA0F-B537-4C6A-9809-038788B35BFD}" name="Đơn vị tính" dataDxfId="8">
      <calculatedColumnFormula>IFERROR(VLOOKUP(A11,'Bảng dữ liệu'!$A$2:$D$30,3,FALSE),"")</calculatedColumnFormula>
    </tableColumn>
    <tableColumn id="9" xr3:uid="{AB0BC159-491A-43F4-9A7F-73702FE1A832}" name="Đơn giá đã bao gồm (Thuế, phí, lệ phí (nếu có) và Chi phí cho các dịch vụ liên quan)" dataDxfId="0" dataCellStyle="Comma"/>
    <tableColumn id="10" xr3:uid="{D8BA6FCC-C228-4ED3-94AA-597D62F8E897}" name="Thành tiền (VNĐ)" dataDxfId="6">
      <calculatedColumnFormula>IF(AND(G11&gt;0, I11&gt;0), G11*I11,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2:J39"/>
  <sheetViews>
    <sheetView tabSelected="1" zoomScale="70" zoomScaleNormal="70" zoomScaleSheetLayoutView="100" workbookViewId="0">
      <selection activeCell="A13" sqref="A13"/>
    </sheetView>
  </sheetViews>
  <sheetFormatPr defaultColWidth="9.140625" defaultRowHeight="15.75" x14ac:dyDescent="0.25"/>
  <cols>
    <col min="1" max="1" width="11.140625" style="1" customWidth="1"/>
    <col min="2" max="2" width="26.140625" style="2" customWidth="1"/>
    <col min="3" max="3" width="29.5703125" style="2" customWidth="1"/>
    <col min="4" max="4" width="21.28515625" style="2" customWidth="1"/>
    <col min="5" max="5" width="17" style="2" customWidth="1"/>
    <col min="6" max="6" width="11.7109375" style="3" customWidth="1"/>
    <col min="7" max="7" width="12.42578125" style="3" customWidth="1"/>
    <col min="8" max="8" width="14.85546875" style="3" customWidth="1"/>
    <col min="9" max="9" width="19.28515625" style="31" customWidth="1"/>
    <col min="10" max="10" width="21.5703125" style="3" customWidth="1"/>
    <col min="11" max="16384" width="9.140625" style="1"/>
  </cols>
  <sheetData>
    <row r="2" spans="1:10" s="4" customFormat="1" ht="39.75" customHeight="1" x14ac:dyDescent="0.25">
      <c r="A2" s="68" t="s">
        <v>15</v>
      </c>
      <c r="B2" s="68"/>
      <c r="C2" s="68"/>
      <c r="D2" s="68"/>
      <c r="E2" s="68"/>
      <c r="F2" s="68"/>
      <c r="G2" s="68"/>
      <c r="H2" s="68"/>
      <c r="I2" s="68"/>
      <c r="J2" s="68"/>
    </row>
    <row r="3" spans="1:10" s="4" customFormat="1" ht="16.5" x14ac:dyDescent="0.25">
      <c r="A3" s="13"/>
      <c r="B3" s="13" t="s">
        <v>14</v>
      </c>
      <c r="C3" s="20"/>
      <c r="D3" s="20"/>
      <c r="E3" s="13"/>
      <c r="F3" s="17"/>
      <c r="G3" s="18"/>
      <c r="H3" s="18"/>
      <c r="I3" s="27"/>
      <c r="J3" s="18"/>
    </row>
    <row r="4" spans="1:10" s="4" customFormat="1" ht="16.5" x14ac:dyDescent="0.25">
      <c r="A4" s="114" t="s">
        <v>279</v>
      </c>
      <c r="B4" s="114"/>
      <c r="C4" s="114"/>
      <c r="D4" s="114"/>
      <c r="E4" s="114"/>
      <c r="F4" s="114"/>
      <c r="G4" s="114"/>
      <c r="H4" s="114"/>
      <c r="I4" s="114"/>
      <c r="J4" s="114"/>
    </row>
    <row r="5" spans="1:10" s="66" customFormat="1" ht="16.5" x14ac:dyDescent="0.25">
      <c r="A5" s="95" t="s">
        <v>277</v>
      </c>
      <c r="B5" s="96"/>
      <c r="C5" s="96"/>
      <c r="D5" s="96"/>
      <c r="E5" s="96"/>
      <c r="F5" s="96"/>
      <c r="G5" s="96"/>
      <c r="H5" s="96"/>
      <c r="I5" s="96"/>
      <c r="J5" s="96"/>
    </row>
    <row r="6" spans="1:10" s="66" customFormat="1" ht="16.5" x14ac:dyDescent="0.25">
      <c r="A6" s="95" t="s">
        <v>275</v>
      </c>
      <c r="B6" s="96"/>
      <c r="C6" s="96"/>
      <c r="D6" s="96"/>
      <c r="E6" s="96"/>
      <c r="F6" s="96"/>
      <c r="G6" s="96"/>
      <c r="H6" s="96"/>
      <c r="I6" s="96"/>
      <c r="J6" s="96"/>
    </row>
    <row r="7" spans="1:10" s="66" customFormat="1" ht="16.5" x14ac:dyDescent="0.25">
      <c r="A7" s="95" t="s">
        <v>276</v>
      </c>
      <c r="B7" s="96"/>
      <c r="C7" s="96"/>
      <c r="D7" s="96"/>
      <c r="E7" s="96"/>
      <c r="F7" s="96"/>
      <c r="G7" s="96"/>
      <c r="H7" s="96"/>
      <c r="I7" s="96"/>
      <c r="J7" s="96"/>
    </row>
    <row r="8" spans="1:10" s="4" customFormat="1" ht="16.5" x14ac:dyDescent="0.25">
      <c r="A8" s="64" t="s">
        <v>278</v>
      </c>
      <c r="B8" s="33"/>
      <c r="C8" s="33"/>
      <c r="D8" s="33"/>
      <c r="E8" s="33"/>
      <c r="F8" s="33"/>
      <c r="G8" s="33"/>
      <c r="H8" s="33"/>
      <c r="I8" s="33"/>
      <c r="J8" s="33"/>
    </row>
    <row r="9" spans="1:10" s="4" customFormat="1" ht="27" customHeight="1" x14ac:dyDescent="0.25">
      <c r="A9" s="34" t="s">
        <v>16</v>
      </c>
      <c r="B9" s="33"/>
      <c r="C9" s="33"/>
      <c r="D9" s="33"/>
      <c r="E9" s="33"/>
      <c r="F9" s="33"/>
      <c r="G9" s="33"/>
      <c r="H9" s="33"/>
      <c r="I9" s="33"/>
      <c r="J9" s="33"/>
    </row>
    <row r="10" spans="1:10" ht="99" x14ac:dyDescent="0.25">
      <c r="A10" s="88" t="s">
        <v>280</v>
      </c>
      <c r="B10" s="89" t="s">
        <v>9</v>
      </c>
      <c r="C10" s="89" t="s">
        <v>17</v>
      </c>
      <c r="D10" s="89" t="s">
        <v>18</v>
      </c>
      <c r="E10" s="89" t="s">
        <v>5</v>
      </c>
      <c r="F10" s="89" t="s">
        <v>6</v>
      </c>
      <c r="G10" s="89" t="s">
        <v>19</v>
      </c>
      <c r="H10" s="89" t="s">
        <v>20</v>
      </c>
      <c r="I10" s="90" t="s">
        <v>21</v>
      </c>
      <c r="J10" s="91" t="s">
        <v>7</v>
      </c>
    </row>
    <row r="11" spans="1:10" ht="16.5" x14ac:dyDescent="0.25">
      <c r="A11" s="97"/>
      <c r="B11" s="65" t="str">
        <f>IFERROR(VLOOKUP(A11,'Bảng dữ liệu'!$A$2:$D$30,2,FALSE),"")</f>
        <v/>
      </c>
      <c r="C11" s="99"/>
      <c r="D11" s="99"/>
      <c r="E11" s="99"/>
      <c r="F11" s="99"/>
      <c r="G11" s="65" t="str">
        <f>IFERROR(VLOOKUP(A11,'Bảng dữ liệu'!$A$2:$D$30,4,FALSE),"")</f>
        <v/>
      </c>
      <c r="H11" s="65" t="str">
        <f>IFERROR(VLOOKUP(A11,'Bảng dữ liệu'!$A$2:$D$30,3,FALSE),"")</f>
        <v/>
      </c>
      <c r="I11" s="101"/>
      <c r="J11" s="93" t="str">
        <f t="shared" ref="J11:J17" si="0">IF(AND(G11&gt;0, I11&gt;0), G11*I11, "")</f>
        <v/>
      </c>
    </row>
    <row r="12" spans="1:10" ht="16.5" x14ac:dyDescent="0.25">
      <c r="A12" s="97"/>
      <c r="B12" s="65" t="str">
        <f>IFERROR(VLOOKUP(A12,'Bảng dữ liệu'!$A$2:$D$30,2,FALSE),"")</f>
        <v/>
      </c>
      <c r="C12" s="99"/>
      <c r="D12" s="99"/>
      <c r="E12" s="99"/>
      <c r="F12" s="99"/>
      <c r="G12" s="65" t="str">
        <f>IFERROR(VLOOKUP(A12,'Bảng dữ liệu'!$A$2:$D$30,4,FALSE),"")</f>
        <v/>
      </c>
      <c r="H12" s="65" t="str">
        <f>IFERROR(VLOOKUP(A12,'Bảng dữ liệu'!$A$2:$D$30,3,FALSE),"")</f>
        <v/>
      </c>
      <c r="I12" s="101"/>
      <c r="J12" s="93" t="str">
        <f t="shared" si="0"/>
        <v/>
      </c>
    </row>
    <row r="13" spans="1:10" ht="16.5" x14ac:dyDescent="0.25">
      <c r="A13" s="97"/>
      <c r="B13" s="65" t="str">
        <f>IFERROR(VLOOKUP(A13,'Bảng dữ liệu'!$A$2:$D$30,2,FALSE),"")</f>
        <v/>
      </c>
      <c r="C13" s="99"/>
      <c r="D13" s="99"/>
      <c r="E13" s="99"/>
      <c r="F13" s="99"/>
      <c r="G13" s="65" t="str">
        <f>IFERROR(VLOOKUP(A13,'Bảng dữ liệu'!$A$2:$D$30,4,FALSE),"")</f>
        <v/>
      </c>
      <c r="H13" s="65" t="str">
        <f>IFERROR(VLOOKUP(A13,'Bảng dữ liệu'!$A$2:$D$30,3,FALSE),"")</f>
        <v/>
      </c>
      <c r="I13" s="101"/>
      <c r="J13" s="93" t="str">
        <f t="shared" si="0"/>
        <v/>
      </c>
    </row>
    <row r="14" spans="1:10" ht="16.5" x14ac:dyDescent="0.25">
      <c r="A14" s="97"/>
      <c r="B14" s="65" t="str">
        <f>IFERROR(VLOOKUP(A14,'Bảng dữ liệu'!$A$2:$D$30,2,FALSE),"")</f>
        <v/>
      </c>
      <c r="C14" s="99"/>
      <c r="D14" s="99"/>
      <c r="E14" s="99"/>
      <c r="F14" s="99"/>
      <c r="G14" s="65" t="str">
        <f>IFERROR(VLOOKUP(A14,'Bảng dữ liệu'!$A$2:$D$30,4,FALSE),"")</f>
        <v/>
      </c>
      <c r="H14" s="65" t="str">
        <f>IFERROR(VLOOKUP(A14,'Bảng dữ liệu'!$A$2:$D$30,3,FALSE),"")</f>
        <v/>
      </c>
      <c r="I14" s="101"/>
      <c r="J14" s="93" t="str">
        <f t="shared" si="0"/>
        <v/>
      </c>
    </row>
    <row r="15" spans="1:10" ht="16.5" x14ac:dyDescent="0.25">
      <c r="A15" s="97"/>
      <c r="B15" s="65" t="str">
        <f>IFERROR(VLOOKUP(A15,'Bảng dữ liệu'!$A$2:$D$30,2,FALSE),"")</f>
        <v/>
      </c>
      <c r="C15" s="99"/>
      <c r="D15" s="99"/>
      <c r="E15" s="99"/>
      <c r="F15" s="99"/>
      <c r="G15" s="65" t="str">
        <f>IFERROR(VLOOKUP(A15,'Bảng dữ liệu'!$A$2:$D$30,4,FALSE),"")</f>
        <v/>
      </c>
      <c r="H15" s="65" t="str">
        <f>IFERROR(VLOOKUP(A15,'Bảng dữ liệu'!$A$2:$D$30,3,FALSE),"")</f>
        <v/>
      </c>
      <c r="I15" s="101"/>
      <c r="J15" s="93" t="str">
        <f t="shared" si="0"/>
        <v/>
      </c>
    </row>
    <row r="16" spans="1:10" ht="16.5" x14ac:dyDescent="0.25">
      <c r="A16" s="97"/>
      <c r="B16" s="65" t="str">
        <f>IFERROR(VLOOKUP(A16,'Bảng dữ liệu'!$A$2:$D$30,2,FALSE),"")</f>
        <v/>
      </c>
      <c r="C16" s="99"/>
      <c r="D16" s="99"/>
      <c r="E16" s="99"/>
      <c r="F16" s="99"/>
      <c r="G16" s="65" t="str">
        <f>IFERROR(VLOOKUP(A16,'Bảng dữ liệu'!$A$2:$D$30,4,FALSE),"")</f>
        <v/>
      </c>
      <c r="H16" s="65" t="str">
        <f>IFERROR(VLOOKUP(A16,'Bảng dữ liệu'!$A$2:$D$30,3,FALSE),"")</f>
        <v/>
      </c>
      <c r="I16" s="101"/>
      <c r="J16" s="93" t="str">
        <f t="shared" si="0"/>
        <v/>
      </c>
    </row>
    <row r="17" spans="1:10" ht="16.5" x14ac:dyDescent="0.25">
      <c r="A17" s="98"/>
      <c r="B17" s="92" t="str">
        <f>IFERROR(VLOOKUP(A17,'Bảng dữ liệu'!$A$2:$D$30,2,FALSE),"")</f>
        <v/>
      </c>
      <c r="C17" s="100"/>
      <c r="D17" s="100"/>
      <c r="E17" s="100"/>
      <c r="F17" s="100"/>
      <c r="G17" s="92" t="str">
        <f>IFERROR(VLOOKUP(A17,'Bảng dữ liệu'!$A$2:$D$30,4,FALSE),"")</f>
        <v/>
      </c>
      <c r="H17" s="92" t="str">
        <f>IFERROR(VLOOKUP(A17,'Bảng dữ liệu'!$A$2:$D$30,3,FALSE),"")</f>
        <v/>
      </c>
      <c r="I17" s="102"/>
      <c r="J17" s="94" t="str">
        <f t="shared" si="0"/>
        <v/>
      </c>
    </row>
    <row r="18" spans="1:10" s="66" customFormat="1" ht="16.5" x14ac:dyDescent="0.25">
      <c r="A18" s="103" t="s">
        <v>281</v>
      </c>
      <c r="B18" s="104"/>
      <c r="C18" s="105"/>
      <c r="D18" s="105"/>
      <c r="E18" s="104"/>
      <c r="F18" s="106"/>
      <c r="G18" s="107"/>
      <c r="H18" s="107"/>
      <c r="I18" s="108"/>
      <c r="J18" s="107"/>
    </row>
    <row r="19" spans="1:10" s="4" customFormat="1" ht="16.5" x14ac:dyDescent="0.25">
      <c r="A19" s="7" t="s">
        <v>4</v>
      </c>
      <c r="B19" s="7"/>
      <c r="C19" s="21"/>
      <c r="D19" s="21"/>
      <c r="E19" s="7"/>
      <c r="F19" s="8"/>
      <c r="G19" s="9"/>
      <c r="H19" s="9"/>
      <c r="I19" s="30"/>
      <c r="J19" s="9"/>
    </row>
    <row r="20" spans="1:10" s="4" customFormat="1" ht="35.25" customHeight="1" x14ac:dyDescent="0.25">
      <c r="A20" s="70" t="s">
        <v>3</v>
      </c>
      <c r="B20" s="70"/>
      <c r="C20" s="70"/>
      <c r="D20" s="70"/>
      <c r="E20" s="70"/>
      <c r="F20" s="70"/>
      <c r="G20" s="70"/>
      <c r="H20" s="70"/>
      <c r="I20" s="70"/>
      <c r="J20" s="70"/>
    </row>
    <row r="21" spans="1:10" s="4" customFormat="1" ht="35.25" customHeight="1" x14ac:dyDescent="0.25">
      <c r="A21" s="70" t="s">
        <v>254</v>
      </c>
      <c r="B21" s="70"/>
      <c r="C21" s="70"/>
      <c r="D21" s="70"/>
      <c r="E21" s="70"/>
      <c r="F21" s="70"/>
      <c r="G21" s="70"/>
      <c r="H21" s="70"/>
      <c r="I21" s="70"/>
      <c r="J21" s="70"/>
    </row>
    <row r="22" spans="1:10" s="4" customFormat="1" ht="16.5" x14ac:dyDescent="0.25">
      <c r="A22" s="16" t="s">
        <v>2</v>
      </c>
      <c r="B22" s="11"/>
      <c r="C22" s="11"/>
      <c r="D22" s="11"/>
      <c r="E22" s="11"/>
      <c r="F22" s="14"/>
      <c r="G22" s="9"/>
      <c r="H22" s="9"/>
      <c r="I22" s="30"/>
      <c r="J22" s="9"/>
    </row>
    <row r="23" spans="1:10" s="66" customFormat="1" ht="16.5" x14ac:dyDescent="0.25">
      <c r="A23" s="103" t="s">
        <v>282</v>
      </c>
      <c r="B23" s="103"/>
      <c r="C23" s="109"/>
      <c r="D23" s="109"/>
      <c r="E23" s="103"/>
      <c r="F23" s="110"/>
      <c r="G23" s="107"/>
      <c r="H23" s="107"/>
      <c r="I23" s="108"/>
      <c r="J23" s="107"/>
    </row>
    <row r="24" spans="1:10" s="66" customFormat="1" ht="17.25" x14ac:dyDescent="0.3">
      <c r="A24" s="103"/>
      <c r="B24" s="111"/>
      <c r="C24" s="112"/>
      <c r="D24" s="112"/>
      <c r="E24" s="111"/>
      <c r="F24" s="111"/>
      <c r="G24" s="113" t="s">
        <v>283</v>
      </c>
      <c r="H24" s="113"/>
      <c r="I24" s="113"/>
      <c r="J24" s="113"/>
    </row>
    <row r="25" spans="1:10" s="4" customFormat="1" ht="17.25" x14ac:dyDescent="0.3">
      <c r="A25" s="13"/>
      <c r="B25" s="12"/>
      <c r="C25" s="23"/>
      <c r="D25" s="23"/>
      <c r="E25" s="12"/>
      <c r="F25" s="12"/>
      <c r="G25" s="67" t="s">
        <v>259</v>
      </c>
      <c r="H25" s="67"/>
      <c r="I25" s="67"/>
      <c r="J25" s="67"/>
    </row>
    <row r="34" spans="3:4" x14ac:dyDescent="0.25">
      <c r="C34" s="32"/>
      <c r="D34" s="32"/>
    </row>
    <row r="38" spans="3:4" x14ac:dyDescent="0.25">
      <c r="C38" s="32"/>
      <c r="D38" s="32"/>
    </row>
    <row r="39" spans="3:4" x14ac:dyDescent="0.25">
      <c r="C39" s="32"/>
      <c r="D39" s="32"/>
    </row>
  </sheetData>
  <sheetProtection algorithmName="SHA-512" hashValue="qsEylDi1WBSMDKT/Zr8eKE5VUVMLRFhc9eVUoddid6OVNXhsaC/2f19aga2zced/ZhZ7OGOS81t3toDR35ZN3Q==" saltValue="60NeDL3UqmvCfbul1vPJzQ==" spinCount="100000" sheet="1" objects="1" scenarios="1"/>
  <mergeCells count="6">
    <mergeCell ref="G25:J25"/>
    <mergeCell ref="A2:J2"/>
    <mergeCell ref="A4:J4"/>
    <mergeCell ref="A20:J20"/>
    <mergeCell ref="A21:J21"/>
    <mergeCell ref="G24:J24"/>
  </mergeCells>
  <pageMargins left="0.61811023600000004" right="0.118110236220472" top="0.35433070866141703" bottom="0.35433070866141703" header="0.31496062992126" footer="0.31496062992126"/>
  <pageSetup paperSize="9" scale="78"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Vui lòng bấm mũi tên để chọn mã thiết bị" xr:uid="{944D83B3-5C82-42F2-A954-B608F4649F73}">
          <x14:formula1>
            <xm:f>'Bảng dữ liệu'!$A$4:$A$30</xm:f>
          </x14:formula1>
          <xm:sqref>A11:A17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2F3C-461E-493E-90BA-05E651D4E2BA}">
  <sheetPr>
    <tabColor rgb="FF00B050"/>
  </sheetPr>
  <dimension ref="A2:I30"/>
  <sheetViews>
    <sheetView zoomScaleNormal="100" zoomScaleSheetLayoutView="100" workbookViewId="0">
      <selection activeCell="H15" sqref="H15"/>
    </sheetView>
  </sheetViews>
  <sheetFormatPr defaultColWidth="9.140625" defaultRowHeight="15.75" x14ac:dyDescent="0.25"/>
  <cols>
    <col min="1" max="1" width="9.140625" style="81"/>
    <col min="2" max="2" width="40.7109375" style="82" customWidth="1"/>
    <col min="3" max="4" width="9.140625" style="82"/>
    <col min="5" max="7" width="9.140625" style="83"/>
    <col min="8" max="8" width="9.140625" style="84"/>
    <col min="9" max="9" width="9.140625" style="83"/>
    <col min="10" max="16384" width="9.140625" style="81"/>
  </cols>
  <sheetData>
    <row r="2" spans="1:4" ht="33" x14ac:dyDescent="0.25">
      <c r="A2" s="85" t="s">
        <v>0</v>
      </c>
      <c r="B2" s="85" t="s">
        <v>284</v>
      </c>
      <c r="C2" s="85" t="s">
        <v>20</v>
      </c>
      <c r="D2" s="85" t="s">
        <v>19</v>
      </c>
    </row>
    <row r="3" spans="1:4" ht="16.5" x14ac:dyDescent="0.25">
      <c r="A3" s="85" t="s">
        <v>285</v>
      </c>
      <c r="B3" s="50" t="s">
        <v>286</v>
      </c>
      <c r="C3" s="86"/>
      <c r="D3" s="86"/>
    </row>
    <row r="4" spans="1:4" ht="16.5" x14ac:dyDescent="0.25">
      <c r="A4" s="87" t="s">
        <v>287</v>
      </c>
      <c r="B4" s="87" t="s">
        <v>288</v>
      </c>
      <c r="C4" s="87" t="s">
        <v>289</v>
      </c>
      <c r="D4" s="87">
        <v>64</v>
      </c>
    </row>
    <row r="5" spans="1:4" ht="33" x14ac:dyDescent="0.25">
      <c r="A5" s="87" t="s">
        <v>290</v>
      </c>
      <c r="B5" s="87" t="s">
        <v>291</v>
      </c>
      <c r="C5" s="87" t="s">
        <v>289</v>
      </c>
      <c r="D5" s="87">
        <v>18</v>
      </c>
    </row>
    <row r="6" spans="1:4" ht="16.5" x14ac:dyDescent="0.25">
      <c r="A6" s="87" t="s">
        <v>292</v>
      </c>
      <c r="B6" s="87" t="s">
        <v>293</v>
      </c>
      <c r="C6" s="87" t="s">
        <v>289</v>
      </c>
      <c r="D6" s="87">
        <v>57</v>
      </c>
    </row>
    <row r="7" spans="1:4" ht="16.5" x14ac:dyDescent="0.25">
      <c r="A7" s="87" t="s">
        <v>294</v>
      </c>
      <c r="B7" s="87" t="s">
        <v>23</v>
      </c>
      <c r="C7" s="87" t="s">
        <v>295</v>
      </c>
      <c r="D7" s="87">
        <v>14</v>
      </c>
    </row>
    <row r="8" spans="1:4" ht="16.5" x14ac:dyDescent="0.25">
      <c r="A8" s="87" t="s">
        <v>296</v>
      </c>
      <c r="B8" s="87" t="s">
        <v>297</v>
      </c>
      <c r="C8" s="86" t="s">
        <v>289</v>
      </c>
      <c r="D8" s="86">
        <v>10</v>
      </c>
    </row>
    <row r="9" spans="1:4" ht="16.5" x14ac:dyDescent="0.25">
      <c r="A9" s="58" t="s">
        <v>298</v>
      </c>
      <c r="B9" s="58" t="s">
        <v>299</v>
      </c>
      <c r="C9" s="86"/>
      <c r="D9" s="86"/>
    </row>
    <row r="10" spans="1:4" ht="16.5" x14ac:dyDescent="0.25">
      <c r="A10" s="87" t="s">
        <v>300</v>
      </c>
      <c r="B10" s="87" t="s">
        <v>301</v>
      </c>
      <c r="C10" s="87" t="s">
        <v>289</v>
      </c>
      <c r="D10" s="87">
        <v>1</v>
      </c>
    </row>
    <row r="11" spans="1:4" ht="33" x14ac:dyDescent="0.25">
      <c r="A11" s="87" t="s">
        <v>302</v>
      </c>
      <c r="B11" s="86" t="s">
        <v>303</v>
      </c>
      <c r="C11" s="86" t="s">
        <v>289</v>
      </c>
      <c r="D11" s="86">
        <v>1</v>
      </c>
    </row>
    <row r="12" spans="1:4" ht="33" x14ac:dyDescent="0.25">
      <c r="A12" s="87" t="s">
        <v>304</v>
      </c>
      <c r="B12" s="86" t="s">
        <v>305</v>
      </c>
      <c r="C12" s="86" t="s">
        <v>306</v>
      </c>
      <c r="D12" s="86">
        <v>1</v>
      </c>
    </row>
    <row r="13" spans="1:4" ht="16.5" x14ac:dyDescent="0.25">
      <c r="A13" s="58" t="s">
        <v>307</v>
      </c>
      <c r="B13" s="85" t="s">
        <v>308</v>
      </c>
      <c r="C13" s="86"/>
      <c r="D13" s="86"/>
    </row>
    <row r="14" spans="1:4" ht="49.5" x14ac:dyDescent="0.25">
      <c r="A14" s="87" t="s">
        <v>309</v>
      </c>
      <c r="B14" s="86" t="s">
        <v>310</v>
      </c>
      <c r="C14" s="86" t="s">
        <v>306</v>
      </c>
      <c r="D14" s="86">
        <v>1</v>
      </c>
    </row>
    <row r="15" spans="1:4" ht="33" x14ac:dyDescent="0.25">
      <c r="A15" s="87" t="s">
        <v>311</v>
      </c>
      <c r="B15" s="86" t="s">
        <v>312</v>
      </c>
      <c r="C15" s="86" t="s">
        <v>306</v>
      </c>
      <c r="D15" s="86">
        <v>1</v>
      </c>
    </row>
    <row r="16" spans="1:4" ht="33" x14ac:dyDescent="0.25">
      <c r="A16" s="58" t="s">
        <v>313</v>
      </c>
      <c r="B16" s="85" t="s">
        <v>314</v>
      </c>
      <c r="C16" s="86"/>
      <c r="D16" s="86"/>
    </row>
    <row r="17" spans="1:4" ht="33" x14ac:dyDescent="0.25">
      <c r="A17" s="87" t="s">
        <v>315</v>
      </c>
      <c r="B17" s="86" t="s">
        <v>316</v>
      </c>
      <c r="C17" s="86" t="s">
        <v>289</v>
      </c>
      <c r="D17" s="86">
        <v>3</v>
      </c>
    </row>
    <row r="18" spans="1:4" ht="16.5" x14ac:dyDescent="0.25">
      <c r="A18" s="87" t="s">
        <v>317</v>
      </c>
      <c r="B18" s="86" t="s">
        <v>318</v>
      </c>
      <c r="C18" s="86" t="s">
        <v>289</v>
      </c>
      <c r="D18" s="86">
        <v>1</v>
      </c>
    </row>
    <row r="19" spans="1:4" ht="16.5" x14ac:dyDescent="0.25">
      <c r="A19" s="87" t="s">
        <v>319</v>
      </c>
      <c r="B19" s="86" t="s">
        <v>320</v>
      </c>
      <c r="C19" s="86" t="s">
        <v>289</v>
      </c>
      <c r="D19" s="86">
        <v>1</v>
      </c>
    </row>
    <row r="20" spans="1:4" ht="16.5" x14ac:dyDescent="0.25">
      <c r="A20" s="87" t="s">
        <v>321</v>
      </c>
      <c r="B20" s="86" t="s">
        <v>322</v>
      </c>
      <c r="C20" s="86" t="s">
        <v>289</v>
      </c>
      <c r="D20" s="86">
        <v>2</v>
      </c>
    </row>
    <row r="21" spans="1:4" ht="16.5" x14ac:dyDescent="0.25">
      <c r="A21" s="58" t="s">
        <v>323</v>
      </c>
      <c r="B21" s="85" t="s">
        <v>324</v>
      </c>
      <c r="C21" s="86"/>
      <c r="D21" s="86"/>
    </row>
    <row r="22" spans="1:4" ht="33" x14ac:dyDescent="0.25">
      <c r="A22" s="87" t="s">
        <v>142</v>
      </c>
      <c r="B22" s="87" t="s">
        <v>24</v>
      </c>
      <c r="C22" s="87" t="s">
        <v>306</v>
      </c>
      <c r="D22" s="87">
        <v>1</v>
      </c>
    </row>
    <row r="23" spans="1:4" ht="16.5" x14ac:dyDescent="0.25">
      <c r="A23" s="58" t="s">
        <v>325</v>
      </c>
      <c r="B23" s="58" t="s">
        <v>326</v>
      </c>
      <c r="C23" s="86"/>
      <c r="D23" s="86"/>
    </row>
    <row r="24" spans="1:4" ht="16.5" x14ac:dyDescent="0.25">
      <c r="A24" s="87" t="s">
        <v>327</v>
      </c>
      <c r="B24" s="87" t="s">
        <v>328</v>
      </c>
      <c r="C24" s="87" t="s">
        <v>289</v>
      </c>
      <c r="D24" s="87">
        <v>1</v>
      </c>
    </row>
    <row r="25" spans="1:4" ht="33" x14ac:dyDescent="0.25">
      <c r="A25" s="87" t="s">
        <v>329</v>
      </c>
      <c r="B25" s="87" t="s">
        <v>330</v>
      </c>
      <c r="C25" s="87" t="s">
        <v>306</v>
      </c>
      <c r="D25" s="87">
        <v>1</v>
      </c>
    </row>
    <row r="26" spans="1:4" ht="16.5" x14ac:dyDescent="0.25">
      <c r="A26" s="58" t="s">
        <v>331</v>
      </c>
      <c r="B26" s="85" t="s">
        <v>332</v>
      </c>
      <c r="C26" s="86"/>
      <c r="D26" s="86"/>
    </row>
    <row r="27" spans="1:4" ht="16.5" x14ac:dyDescent="0.25">
      <c r="A27" s="87" t="s">
        <v>333</v>
      </c>
      <c r="B27" s="86" t="s">
        <v>334</v>
      </c>
      <c r="C27" s="87" t="s">
        <v>289</v>
      </c>
      <c r="D27" s="86">
        <v>1</v>
      </c>
    </row>
    <row r="28" spans="1:4" ht="16.5" x14ac:dyDescent="0.25">
      <c r="A28" s="87" t="s">
        <v>335</v>
      </c>
      <c r="B28" s="86" t="s">
        <v>336</v>
      </c>
      <c r="C28" s="87" t="s">
        <v>289</v>
      </c>
      <c r="D28" s="86">
        <v>1</v>
      </c>
    </row>
    <row r="29" spans="1:4" ht="33" x14ac:dyDescent="0.25">
      <c r="A29" s="58" t="s">
        <v>337</v>
      </c>
      <c r="B29" s="85" t="s">
        <v>338</v>
      </c>
      <c r="C29" s="86"/>
      <c r="D29" s="86"/>
    </row>
    <row r="30" spans="1:4" ht="16.5" x14ac:dyDescent="0.25">
      <c r="A30" s="87" t="s">
        <v>339</v>
      </c>
      <c r="B30" s="86" t="s">
        <v>340</v>
      </c>
      <c r="C30" s="86" t="s">
        <v>289</v>
      </c>
      <c r="D30" s="86">
        <v>1</v>
      </c>
    </row>
  </sheetData>
  <sheetProtection algorithmName="SHA-512" hashValue="9tbZAP0gLgCkkGJqbamo963aQtBxWc+UAmxueS8OLMW18wgWM4iaHadvYswAeZCrg99uXUZjPExSagD531D+fQ==" saltValue="tr+P6YL2vV1d2MT9E3gbPA==" spinCount="100000" sheet="1" objects="1" scenarios="1"/>
  <pageMargins left="0.61811023600000004" right="0.118110236220472" top="0.35433070866141703" bottom="0.35433070866141703" header="0.31496062992126" footer="0.31496062992126"/>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137B-A04B-4ED8-95A3-0AD1862882D7}">
  <sheetPr>
    <tabColor rgb="FFFF0000"/>
  </sheetPr>
  <dimension ref="A1:G36"/>
  <sheetViews>
    <sheetView topLeftCell="A7" zoomScaleNormal="100" workbookViewId="0">
      <selection activeCell="B14" sqref="B14"/>
    </sheetView>
  </sheetViews>
  <sheetFormatPr defaultColWidth="9.140625" defaultRowHeight="15.75" x14ac:dyDescent="0.25"/>
  <cols>
    <col min="1" max="1" width="16.42578125" style="1" customWidth="1"/>
    <col min="2" max="2" width="70.42578125" style="2" customWidth="1"/>
    <col min="3" max="3" width="8.28515625" style="2" customWidth="1"/>
    <col min="4" max="4" width="12.5703125" style="2" customWidth="1"/>
    <col min="5" max="5" width="27.42578125" style="31" customWidth="1"/>
    <col min="6" max="6" width="16.140625" style="31" customWidth="1"/>
    <col min="7" max="7" width="13.5703125" style="3" customWidth="1"/>
    <col min="8" max="16384" width="9.140625" style="1"/>
  </cols>
  <sheetData>
    <row r="1" spans="1:7" x14ac:dyDescent="0.25">
      <c r="E1" s="71"/>
      <c r="F1" s="71"/>
      <c r="G1" s="71"/>
    </row>
    <row r="2" spans="1:7" s="4" customFormat="1" ht="16.5" x14ac:dyDescent="0.25">
      <c r="A2" s="15"/>
      <c r="B2" s="13" t="s">
        <v>1</v>
      </c>
      <c r="C2" s="61"/>
      <c r="D2" s="61"/>
      <c r="E2" s="61"/>
      <c r="F2" s="61"/>
      <c r="G2" s="61"/>
    </row>
    <row r="3" spans="1:7" s="4" customFormat="1" ht="15.75" customHeight="1" x14ac:dyDescent="0.25">
      <c r="A3" s="5"/>
      <c r="B3" s="7" t="s">
        <v>10</v>
      </c>
      <c r="C3" s="62"/>
      <c r="D3" s="62"/>
      <c r="E3" s="62"/>
      <c r="F3" s="62"/>
      <c r="G3" s="62"/>
    </row>
    <row r="4" spans="1:7" s="4" customFormat="1" ht="16.5" x14ac:dyDescent="0.25">
      <c r="B4" s="7" t="s">
        <v>11</v>
      </c>
      <c r="C4" s="63"/>
      <c r="D4" s="63"/>
      <c r="E4" s="63"/>
      <c r="F4" s="63"/>
      <c r="G4" s="63"/>
    </row>
    <row r="5" spans="1:7" s="4" customFormat="1" ht="16.5" x14ac:dyDescent="0.25">
      <c r="A5" s="6"/>
      <c r="B5" s="7" t="s">
        <v>12</v>
      </c>
      <c r="C5" s="63"/>
      <c r="D5" s="63"/>
      <c r="E5" s="63"/>
      <c r="F5" s="63"/>
      <c r="G5" s="63"/>
    </row>
    <row r="6" spans="1:7" s="4" customFormat="1" ht="16.5" x14ac:dyDescent="0.25">
      <c r="A6" s="6"/>
      <c r="B6" s="7" t="s">
        <v>13</v>
      </c>
      <c r="C6" s="34"/>
      <c r="D6" s="34"/>
      <c r="E6" s="34"/>
      <c r="F6" s="34"/>
      <c r="G6" s="34"/>
    </row>
    <row r="7" spans="1:7" s="4" customFormat="1" x14ac:dyDescent="0.25">
      <c r="A7" s="72"/>
      <c r="B7" s="72"/>
      <c r="C7" s="72"/>
      <c r="D7" s="72"/>
      <c r="E7" s="26"/>
      <c r="F7" s="26"/>
      <c r="G7" s="25"/>
    </row>
    <row r="8" spans="1:7" s="4" customFormat="1" ht="22.5" x14ac:dyDescent="0.25">
      <c r="A8" s="73" t="s">
        <v>255</v>
      </c>
      <c r="B8" s="73"/>
      <c r="C8" s="73"/>
      <c r="D8" s="73"/>
      <c r="E8" s="73"/>
      <c r="F8" s="73"/>
      <c r="G8" s="73"/>
    </row>
    <row r="9" spans="1:7" s="4" customFormat="1" ht="16.5" x14ac:dyDescent="0.25">
      <c r="A9" s="13"/>
      <c r="B9" s="13" t="s">
        <v>14</v>
      </c>
      <c r="C9" s="13"/>
      <c r="D9" s="20"/>
      <c r="E9" s="27"/>
      <c r="F9" s="27"/>
      <c r="G9" s="18"/>
    </row>
    <row r="10" spans="1:7" s="4" customFormat="1" ht="49.5" customHeight="1" x14ac:dyDescent="0.25">
      <c r="A10" s="69" t="s">
        <v>256</v>
      </c>
      <c r="B10" s="69"/>
      <c r="C10" s="69"/>
      <c r="D10" s="69"/>
      <c r="E10" s="69"/>
      <c r="F10" s="69"/>
      <c r="G10" s="69"/>
    </row>
    <row r="11" spans="1:7" s="4" customFormat="1" ht="16.5" x14ac:dyDescent="0.25">
      <c r="A11" s="34" t="s">
        <v>16</v>
      </c>
      <c r="B11" s="33"/>
      <c r="C11" s="33"/>
      <c r="D11" s="33"/>
      <c r="E11" s="33"/>
      <c r="F11" s="33"/>
      <c r="G11" s="33"/>
    </row>
    <row r="12" spans="1:7" ht="66" x14ac:dyDescent="0.25">
      <c r="A12" s="19" t="s">
        <v>0</v>
      </c>
      <c r="B12" s="19" t="s">
        <v>257</v>
      </c>
      <c r="C12" s="19" t="s">
        <v>19</v>
      </c>
      <c r="D12" s="19" t="s">
        <v>20</v>
      </c>
      <c r="E12" s="28" t="s">
        <v>21</v>
      </c>
      <c r="F12" s="19" t="s">
        <v>7</v>
      </c>
      <c r="G12" s="19" t="s">
        <v>258</v>
      </c>
    </row>
    <row r="13" spans="1:7" ht="82.5" x14ac:dyDescent="0.25">
      <c r="A13" s="24">
        <v>1</v>
      </c>
      <c r="B13" s="47" t="s">
        <v>267</v>
      </c>
      <c r="C13" s="24" t="s">
        <v>274</v>
      </c>
      <c r="D13" s="24" t="s">
        <v>269</v>
      </c>
      <c r="E13" s="29">
        <v>10000000</v>
      </c>
      <c r="F13" s="29">
        <f>E13*14</f>
        <v>140000000</v>
      </c>
      <c r="G13" s="35"/>
    </row>
    <row r="14" spans="1:7" ht="99" x14ac:dyDescent="0.25">
      <c r="A14" s="24">
        <v>2</v>
      </c>
      <c r="B14" s="47" t="s">
        <v>268</v>
      </c>
      <c r="C14" s="24" t="s">
        <v>260</v>
      </c>
      <c r="D14" s="24" t="s">
        <v>269</v>
      </c>
      <c r="E14" s="29">
        <v>80000000</v>
      </c>
      <c r="F14" s="29">
        <v>80000000</v>
      </c>
      <c r="G14" s="35"/>
    </row>
    <row r="15" spans="1:7" s="4" customFormat="1" ht="16.5" x14ac:dyDescent="0.25">
      <c r="A15" s="7" t="s">
        <v>22</v>
      </c>
      <c r="B15" s="10"/>
      <c r="C15" s="10"/>
      <c r="D15" s="22"/>
      <c r="E15" s="30"/>
      <c r="F15" s="30"/>
      <c r="G15" s="9"/>
    </row>
    <row r="16" spans="1:7" s="4" customFormat="1" ht="16.5" x14ac:dyDescent="0.25">
      <c r="A16" s="7" t="s">
        <v>4</v>
      </c>
      <c r="B16" s="7"/>
      <c r="C16" s="7"/>
      <c r="D16" s="21"/>
      <c r="E16" s="30"/>
      <c r="F16" s="30"/>
      <c r="G16" s="9"/>
    </row>
    <row r="17" spans="1:7" s="4" customFormat="1" ht="36.75" customHeight="1" x14ac:dyDescent="0.25">
      <c r="A17" s="70" t="s">
        <v>3</v>
      </c>
      <c r="B17" s="70"/>
      <c r="C17" s="70"/>
      <c r="D17" s="70"/>
      <c r="E17" s="70"/>
      <c r="F17" s="70"/>
      <c r="G17" s="70"/>
    </row>
    <row r="18" spans="1:7" s="4" customFormat="1" ht="38.25" customHeight="1" x14ac:dyDescent="0.25">
      <c r="A18" s="70" t="s">
        <v>254</v>
      </c>
      <c r="B18" s="70"/>
      <c r="C18" s="70"/>
      <c r="D18" s="70"/>
      <c r="E18" s="70"/>
      <c r="F18" s="70"/>
      <c r="G18" s="70"/>
    </row>
    <row r="19" spans="1:7" s="4" customFormat="1" ht="16.5" x14ac:dyDescent="0.25">
      <c r="A19" s="16" t="s">
        <v>2</v>
      </c>
      <c r="B19" s="11"/>
      <c r="C19" s="11"/>
      <c r="D19" s="11"/>
      <c r="E19" s="30"/>
      <c r="F19" s="30"/>
      <c r="G19" s="9"/>
    </row>
    <row r="20" spans="1:7" s="4" customFormat="1" ht="16.5" x14ac:dyDescent="0.25">
      <c r="A20" s="7" t="s">
        <v>8</v>
      </c>
      <c r="B20" s="7"/>
      <c r="C20" s="7"/>
      <c r="D20" s="21"/>
      <c r="E20" s="30"/>
      <c r="F20" s="30"/>
      <c r="G20" s="9"/>
    </row>
    <row r="21" spans="1:7" s="4" customFormat="1" ht="17.25" x14ac:dyDescent="0.3">
      <c r="A21" s="7"/>
      <c r="B21" s="12"/>
      <c r="C21" s="12"/>
      <c r="D21" s="23"/>
      <c r="E21" s="74" t="s">
        <v>265</v>
      </c>
      <c r="F21" s="74"/>
      <c r="G21" s="74"/>
    </row>
    <row r="22" spans="1:7" s="4" customFormat="1" ht="17.25" x14ac:dyDescent="0.3">
      <c r="A22" s="13"/>
      <c r="B22" s="12"/>
      <c r="C22" s="12"/>
      <c r="D22" s="23"/>
      <c r="E22" s="67" t="s">
        <v>259</v>
      </c>
      <c r="F22" s="67"/>
      <c r="G22" s="67"/>
    </row>
    <row r="31" spans="1:7" x14ac:dyDescent="0.25">
      <c r="D31" s="32"/>
    </row>
    <row r="35" spans="4:4" x14ac:dyDescent="0.25">
      <c r="D35" s="32"/>
    </row>
    <row r="36" spans="4:4" x14ac:dyDescent="0.25">
      <c r="D36" s="32"/>
    </row>
  </sheetData>
  <mergeCells count="8">
    <mergeCell ref="E22:G22"/>
    <mergeCell ref="E1:G1"/>
    <mergeCell ref="A7:D7"/>
    <mergeCell ref="A8:G8"/>
    <mergeCell ref="A10:G10"/>
    <mergeCell ref="A17:G17"/>
    <mergeCell ref="A18:G18"/>
    <mergeCell ref="E21:G21"/>
  </mergeCells>
  <pageMargins left="0.7" right="0.7" top="0.75" bottom="0.75" header="0.3" footer="0.3"/>
  <pageSetup scale="74"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C89B-54E0-4E75-B85E-522F44CC87CA}">
  <sheetPr>
    <tabColor rgb="FFFFFF00"/>
  </sheetPr>
  <dimension ref="A1:J145"/>
  <sheetViews>
    <sheetView zoomScale="90" zoomScaleNormal="90" zoomScaleSheetLayoutView="100" workbookViewId="0">
      <selection activeCell="D9" sqref="D9"/>
    </sheetView>
  </sheetViews>
  <sheetFormatPr defaultRowHeight="15.75" x14ac:dyDescent="0.25"/>
  <cols>
    <col min="1" max="1" width="6.140625" style="37" customWidth="1"/>
    <col min="2" max="2" width="9.140625" style="37" customWidth="1"/>
    <col min="3" max="3" width="13.5703125" style="36" customWidth="1"/>
    <col min="4" max="4" width="46.42578125" style="36" customWidth="1"/>
    <col min="5" max="5" width="9.140625" style="36" customWidth="1"/>
    <col min="6" max="6" width="44.7109375" style="36" customWidth="1"/>
    <col min="7" max="7" width="12.140625" style="36" customWidth="1"/>
    <col min="8" max="8" width="19.28515625" style="36" customWidth="1"/>
    <col min="9" max="9" width="12.42578125" style="36" customWidth="1"/>
    <col min="10" max="10" width="36.28515625" style="36" customWidth="1"/>
    <col min="11" max="16384" width="9.140625" style="36"/>
  </cols>
  <sheetData>
    <row r="1" spans="1:10" ht="35.25" customHeight="1" x14ac:dyDescent="0.25">
      <c r="A1" s="76" t="s">
        <v>38</v>
      </c>
      <c r="B1" s="77"/>
      <c r="C1" s="77"/>
      <c r="D1" s="77"/>
      <c r="E1" s="77"/>
      <c r="F1" s="77"/>
      <c r="G1" s="77"/>
      <c r="H1" s="77"/>
      <c r="I1" s="77"/>
      <c r="J1" s="77"/>
    </row>
    <row r="3" spans="1:10" x14ac:dyDescent="0.25">
      <c r="A3" s="75" t="s">
        <v>36</v>
      </c>
      <c r="B3" s="75"/>
      <c r="C3" s="75"/>
      <c r="D3" s="75"/>
      <c r="E3" s="75" t="s">
        <v>37</v>
      </c>
      <c r="F3" s="75"/>
      <c r="G3" s="75"/>
      <c r="H3" s="75"/>
      <c r="I3" s="75"/>
      <c r="J3" s="75"/>
    </row>
    <row r="4" spans="1:10" ht="78.75" x14ac:dyDescent="0.25">
      <c r="A4" s="38" t="s">
        <v>0</v>
      </c>
      <c r="B4" s="38" t="s">
        <v>27</v>
      </c>
      <c r="C4" s="38" t="s">
        <v>28</v>
      </c>
      <c r="D4" s="38" t="s">
        <v>29</v>
      </c>
      <c r="E4" s="38" t="s">
        <v>30</v>
      </c>
      <c r="F4" s="38" t="s">
        <v>31</v>
      </c>
      <c r="G4" s="38" t="s">
        <v>32</v>
      </c>
      <c r="H4" s="38" t="s">
        <v>33</v>
      </c>
      <c r="I4" s="38" t="s">
        <v>34</v>
      </c>
      <c r="J4" s="38" t="s">
        <v>35</v>
      </c>
    </row>
    <row r="5" spans="1:10" ht="63" x14ac:dyDescent="0.25">
      <c r="A5" s="38">
        <v>1</v>
      </c>
      <c r="B5" s="38" t="s">
        <v>39</v>
      </c>
      <c r="C5" s="39" t="s">
        <v>23</v>
      </c>
      <c r="D5" s="40"/>
      <c r="E5" s="40" t="s">
        <v>25</v>
      </c>
      <c r="F5" s="39" t="s">
        <v>208</v>
      </c>
      <c r="G5" s="40"/>
      <c r="H5" s="40"/>
      <c r="I5" s="40"/>
      <c r="J5" s="40"/>
    </row>
    <row r="6" spans="1:10" x14ac:dyDescent="0.25">
      <c r="A6" s="38"/>
      <c r="B6" s="38"/>
      <c r="C6" s="40"/>
      <c r="D6" s="41" t="s">
        <v>143</v>
      </c>
      <c r="E6" s="40"/>
      <c r="F6" s="41" t="s">
        <v>154</v>
      </c>
      <c r="G6" s="40"/>
      <c r="H6" s="40"/>
      <c r="I6" s="40"/>
      <c r="J6" s="40"/>
    </row>
    <row r="7" spans="1:10" ht="31.5" x14ac:dyDescent="0.25">
      <c r="A7" s="38"/>
      <c r="B7" s="38"/>
      <c r="C7" s="40"/>
      <c r="D7" s="42" t="s">
        <v>40</v>
      </c>
      <c r="E7" s="40"/>
      <c r="F7" s="42" t="s">
        <v>40</v>
      </c>
      <c r="G7" s="40"/>
      <c r="H7" s="40"/>
      <c r="I7" s="40"/>
      <c r="J7" s="40" t="s">
        <v>155</v>
      </c>
    </row>
    <row r="8" spans="1:10" ht="31.5" x14ac:dyDescent="0.25">
      <c r="A8" s="38"/>
      <c r="B8" s="38"/>
      <c r="C8" s="40"/>
      <c r="D8" s="42" t="s">
        <v>41</v>
      </c>
      <c r="E8" s="40"/>
      <c r="F8" s="42" t="s">
        <v>41</v>
      </c>
      <c r="G8" s="40"/>
      <c r="H8" s="40"/>
      <c r="I8" s="40"/>
      <c r="J8" s="40" t="s">
        <v>155</v>
      </c>
    </row>
    <row r="9" spans="1:10" ht="78.75" x14ac:dyDescent="0.25">
      <c r="A9" s="38"/>
      <c r="B9" s="38"/>
      <c r="C9" s="40"/>
      <c r="D9" s="42" t="s">
        <v>42</v>
      </c>
      <c r="E9" s="40"/>
      <c r="F9" s="42" t="s">
        <v>248</v>
      </c>
      <c r="G9" s="40"/>
      <c r="H9" s="40"/>
      <c r="I9" s="40"/>
      <c r="J9" s="40" t="s">
        <v>249</v>
      </c>
    </row>
    <row r="10" spans="1:10" ht="63" x14ac:dyDescent="0.25">
      <c r="A10" s="38"/>
      <c r="B10" s="38"/>
      <c r="C10" s="40"/>
      <c r="D10" s="42" t="s">
        <v>43</v>
      </c>
      <c r="E10" s="40"/>
      <c r="F10" s="42" t="s">
        <v>205</v>
      </c>
      <c r="G10" s="40"/>
      <c r="H10" s="40"/>
      <c r="I10" s="40"/>
      <c r="J10" s="40" t="s">
        <v>202</v>
      </c>
    </row>
    <row r="11" spans="1:10" ht="78.75" x14ac:dyDescent="0.25">
      <c r="A11" s="38"/>
      <c r="B11" s="38"/>
      <c r="C11" s="40"/>
      <c r="D11" s="42" t="s">
        <v>44</v>
      </c>
      <c r="E11" s="40"/>
      <c r="F11" s="42" t="s">
        <v>204</v>
      </c>
      <c r="G11" s="40"/>
      <c r="H11" s="40"/>
      <c r="I11" s="40"/>
      <c r="J11" s="40" t="s">
        <v>203</v>
      </c>
    </row>
    <row r="12" spans="1:10" ht="31.5" x14ac:dyDescent="0.25">
      <c r="A12" s="38"/>
      <c r="B12" s="38"/>
      <c r="C12" s="40"/>
      <c r="D12" s="41" t="s">
        <v>144</v>
      </c>
      <c r="E12" s="40"/>
      <c r="F12" s="41" t="s">
        <v>158</v>
      </c>
      <c r="G12" s="40"/>
      <c r="H12" s="40"/>
      <c r="I12" s="40"/>
      <c r="J12" s="40"/>
    </row>
    <row r="13" spans="1:10" ht="31.5" x14ac:dyDescent="0.25">
      <c r="A13" s="38"/>
      <c r="B13" s="38"/>
      <c r="C13" s="40"/>
      <c r="D13" s="42" t="s">
        <v>45</v>
      </c>
      <c r="E13" s="40"/>
      <c r="F13" s="42" t="s">
        <v>206</v>
      </c>
      <c r="G13" s="40"/>
      <c r="H13" s="40"/>
      <c r="I13" s="40"/>
      <c r="J13" s="40"/>
    </row>
    <row r="14" spans="1:10" x14ac:dyDescent="0.25">
      <c r="A14" s="38"/>
      <c r="B14" s="38"/>
      <c r="C14" s="40"/>
      <c r="D14" s="42" t="s">
        <v>46</v>
      </c>
      <c r="E14" s="40"/>
      <c r="F14" s="42" t="s">
        <v>46</v>
      </c>
      <c r="G14" s="40"/>
      <c r="H14" s="40"/>
      <c r="I14" s="40"/>
      <c r="J14" s="40" t="s">
        <v>155</v>
      </c>
    </row>
    <row r="15" spans="1:10" x14ac:dyDescent="0.25">
      <c r="A15" s="38"/>
      <c r="B15" s="38"/>
      <c r="C15" s="40"/>
      <c r="D15" s="42" t="s">
        <v>47</v>
      </c>
      <c r="E15" s="40"/>
      <c r="F15" s="42" t="s">
        <v>47</v>
      </c>
      <c r="G15" s="40"/>
      <c r="H15" s="40"/>
      <c r="I15" s="40"/>
      <c r="J15" s="40" t="s">
        <v>155</v>
      </c>
    </row>
    <row r="16" spans="1:10" x14ac:dyDescent="0.25">
      <c r="A16" s="38"/>
      <c r="B16" s="38"/>
      <c r="C16" s="40"/>
      <c r="D16" s="42" t="s">
        <v>48</v>
      </c>
      <c r="E16" s="40"/>
      <c r="F16" s="42" t="s">
        <v>48</v>
      </c>
      <c r="G16" s="40"/>
      <c r="H16" s="40"/>
      <c r="I16" s="40"/>
      <c r="J16" s="40" t="s">
        <v>155</v>
      </c>
    </row>
    <row r="17" spans="1:10" x14ac:dyDescent="0.25">
      <c r="A17" s="38"/>
      <c r="B17" s="38"/>
      <c r="C17" s="40"/>
      <c r="D17" s="42" t="s">
        <v>49</v>
      </c>
      <c r="E17" s="40"/>
      <c r="F17" s="42" t="s">
        <v>49</v>
      </c>
      <c r="G17" s="40"/>
      <c r="H17" s="40"/>
      <c r="I17" s="40"/>
      <c r="J17" s="40" t="s">
        <v>155</v>
      </c>
    </row>
    <row r="18" spans="1:10" x14ac:dyDescent="0.25">
      <c r="A18" s="38"/>
      <c r="B18" s="38"/>
      <c r="C18" s="40"/>
      <c r="D18" s="42" t="s">
        <v>50</v>
      </c>
      <c r="E18" s="40"/>
      <c r="F18" s="42" t="s">
        <v>50</v>
      </c>
      <c r="G18" s="40"/>
      <c r="H18" s="40"/>
      <c r="I18" s="40"/>
      <c r="J18" s="40" t="s">
        <v>155</v>
      </c>
    </row>
    <row r="19" spans="1:10" x14ac:dyDescent="0.25">
      <c r="A19" s="38"/>
      <c r="B19" s="38"/>
      <c r="C19" s="40"/>
      <c r="D19" s="42" t="s">
        <v>51</v>
      </c>
      <c r="E19" s="40"/>
      <c r="F19" s="42" t="s">
        <v>51</v>
      </c>
      <c r="G19" s="40"/>
      <c r="H19" s="40"/>
      <c r="I19" s="40"/>
      <c r="J19" s="40" t="s">
        <v>155</v>
      </c>
    </row>
    <row r="20" spans="1:10" x14ac:dyDescent="0.25">
      <c r="A20" s="38"/>
      <c r="B20" s="38"/>
      <c r="C20" s="40"/>
      <c r="D20" s="42" t="s">
        <v>52</v>
      </c>
      <c r="E20" s="40"/>
      <c r="F20" s="42" t="s">
        <v>52</v>
      </c>
      <c r="G20" s="40"/>
      <c r="H20" s="40"/>
      <c r="I20" s="40"/>
      <c r="J20" s="40" t="s">
        <v>155</v>
      </c>
    </row>
    <row r="21" spans="1:10" x14ac:dyDescent="0.25">
      <c r="A21" s="38"/>
      <c r="B21" s="38"/>
      <c r="C21" s="40"/>
      <c r="D21" s="42" t="s">
        <v>53</v>
      </c>
      <c r="E21" s="40"/>
      <c r="F21" s="40" t="s">
        <v>162</v>
      </c>
      <c r="G21" s="40"/>
      <c r="H21" s="40"/>
      <c r="I21" s="40"/>
      <c r="J21" s="40" t="s">
        <v>155</v>
      </c>
    </row>
    <row r="22" spans="1:10" ht="31.5" x14ac:dyDescent="0.25">
      <c r="A22" s="38"/>
      <c r="B22" s="38"/>
      <c r="C22" s="40"/>
      <c r="D22" s="42" t="s">
        <v>54</v>
      </c>
      <c r="E22" s="40"/>
      <c r="F22" s="42" t="s">
        <v>54</v>
      </c>
      <c r="G22" s="40"/>
      <c r="H22" s="40"/>
      <c r="I22" s="40"/>
      <c r="J22" s="40" t="s">
        <v>155</v>
      </c>
    </row>
    <row r="23" spans="1:10" x14ac:dyDescent="0.25">
      <c r="A23" s="38"/>
      <c r="B23" s="38"/>
      <c r="C23" s="40"/>
      <c r="D23" s="41" t="s">
        <v>145</v>
      </c>
      <c r="E23" s="40"/>
      <c r="F23" s="41" t="s">
        <v>163</v>
      </c>
      <c r="G23" s="40"/>
      <c r="H23" s="40"/>
      <c r="I23" s="40"/>
      <c r="J23" s="40"/>
    </row>
    <row r="24" spans="1:10" x14ac:dyDescent="0.25">
      <c r="A24" s="38"/>
      <c r="B24" s="38"/>
      <c r="C24" s="40"/>
      <c r="D24" s="41" t="s">
        <v>146</v>
      </c>
      <c r="E24" s="40"/>
      <c r="F24" s="41" t="s">
        <v>146</v>
      </c>
      <c r="G24" s="40"/>
      <c r="H24" s="40"/>
      <c r="I24" s="40"/>
      <c r="J24" s="40"/>
    </row>
    <row r="25" spans="1:10" x14ac:dyDescent="0.25">
      <c r="A25" s="38"/>
      <c r="B25" s="38"/>
      <c r="C25" s="40"/>
      <c r="D25" s="41" t="s">
        <v>196</v>
      </c>
      <c r="E25" s="40"/>
      <c r="F25" s="41" t="s">
        <v>196</v>
      </c>
      <c r="G25" s="40"/>
      <c r="H25" s="40"/>
      <c r="I25" s="40"/>
      <c r="J25" s="40"/>
    </row>
    <row r="26" spans="1:10" ht="63" x14ac:dyDescent="0.25">
      <c r="A26" s="38"/>
      <c r="B26" s="38"/>
      <c r="C26" s="40"/>
      <c r="D26" s="42" t="s">
        <v>55</v>
      </c>
      <c r="E26" s="40"/>
      <c r="F26" s="42" t="s">
        <v>209</v>
      </c>
      <c r="G26" s="40"/>
      <c r="H26" s="40"/>
      <c r="I26" s="40"/>
      <c r="J26" s="40" t="s">
        <v>210</v>
      </c>
    </row>
    <row r="27" spans="1:10" ht="31.5" x14ac:dyDescent="0.25">
      <c r="A27" s="38"/>
      <c r="B27" s="38"/>
      <c r="C27" s="40"/>
      <c r="D27" s="42" t="s">
        <v>212</v>
      </c>
      <c r="E27" s="40"/>
      <c r="F27" s="42" t="s">
        <v>270</v>
      </c>
      <c r="G27" s="40"/>
      <c r="H27" s="40"/>
      <c r="I27" s="40"/>
      <c r="J27" s="40" t="s">
        <v>211</v>
      </c>
    </row>
    <row r="28" spans="1:10" ht="31.5" x14ac:dyDescent="0.25">
      <c r="A28" s="38"/>
      <c r="B28" s="38"/>
      <c r="C28" s="40"/>
      <c r="D28" s="42" t="s">
        <v>56</v>
      </c>
      <c r="E28" s="40"/>
      <c r="F28" s="42" t="s">
        <v>213</v>
      </c>
      <c r="G28" s="40"/>
      <c r="H28" s="40"/>
      <c r="I28" s="40"/>
      <c r="J28" s="40" t="s">
        <v>214</v>
      </c>
    </row>
    <row r="29" spans="1:10" x14ac:dyDescent="0.25">
      <c r="A29" s="38"/>
      <c r="B29" s="38"/>
      <c r="C29" s="40"/>
      <c r="D29" s="41" t="s">
        <v>197</v>
      </c>
      <c r="E29" s="40"/>
      <c r="F29" s="41" t="s">
        <v>197</v>
      </c>
      <c r="G29" s="40"/>
      <c r="H29" s="40"/>
      <c r="I29" s="40"/>
      <c r="J29" s="40"/>
    </row>
    <row r="30" spans="1:10" ht="47.25" x14ac:dyDescent="0.25">
      <c r="A30" s="38"/>
      <c r="B30" s="38"/>
      <c r="C30" s="40"/>
      <c r="D30" s="42" t="s">
        <v>57</v>
      </c>
      <c r="E30" s="40"/>
      <c r="F30" s="42" t="s">
        <v>215</v>
      </c>
      <c r="G30" s="40"/>
      <c r="H30" s="40"/>
      <c r="I30" s="40"/>
      <c r="J30" s="40" t="s">
        <v>250</v>
      </c>
    </row>
    <row r="31" spans="1:10" ht="47.25" x14ac:dyDescent="0.25">
      <c r="A31" s="38"/>
      <c r="B31" s="38"/>
      <c r="C31" s="40"/>
      <c r="D31" s="42" t="s">
        <v>58</v>
      </c>
      <c r="E31" s="40"/>
      <c r="F31" s="42" t="s">
        <v>217</v>
      </c>
      <c r="G31" s="40"/>
      <c r="H31" s="40"/>
      <c r="I31" s="40"/>
      <c r="J31" s="40" t="s">
        <v>218</v>
      </c>
    </row>
    <row r="32" spans="1:10" ht="47.25" x14ac:dyDescent="0.25">
      <c r="A32" s="38"/>
      <c r="B32" s="38"/>
      <c r="C32" s="40"/>
      <c r="D32" s="42" t="s">
        <v>59</v>
      </c>
      <c r="E32" s="40"/>
      <c r="F32" s="42" t="s">
        <v>266</v>
      </c>
      <c r="G32" s="40"/>
      <c r="H32" s="40"/>
      <c r="I32" s="40"/>
      <c r="J32" s="40" t="s">
        <v>219</v>
      </c>
    </row>
    <row r="33" spans="1:10" x14ac:dyDescent="0.25">
      <c r="A33" s="38"/>
      <c r="B33" s="38"/>
      <c r="C33" s="40"/>
      <c r="D33" s="41" t="s">
        <v>198</v>
      </c>
      <c r="E33" s="40"/>
      <c r="F33" s="41" t="s">
        <v>198</v>
      </c>
      <c r="G33" s="40"/>
      <c r="H33" s="40"/>
      <c r="I33" s="40"/>
      <c r="J33" s="40"/>
    </row>
    <row r="34" spans="1:10" ht="47.25" x14ac:dyDescent="0.25">
      <c r="A34" s="38"/>
      <c r="B34" s="38"/>
      <c r="C34" s="40"/>
      <c r="D34" s="42" t="s">
        <v>60</v>
      </c>
      <c r="E34" s="40"/>
      <c r="F34" s="42" t="s">
        <v>60</v>
      </c>
      <c r="G34" s="40"/>
      <c r="H34" s="40"/>
      <c r="I34" s="40"/>
      <c r="J34" s="40" t="s">
        <v>220</v>
      </c>
    </row>
    <row r="35" spans="1:10" ht="63" x14ac:dyDescent="0.25">
      <c r="A35" s="38"/>
      <c r="B35" s="38"/>
      <c r="C35" s="40"/>
      <c r="D35" s="42" t="s">
        <v>61</v>
      </c>
      <c r="E35" s="40"/>
      <c r="F35" s="42" t="s">
        <v>61</v>
      </c>
      <c r="G35" s="40"/>
      <c r="H35" s="40"/>
      <c r="I35" s="40"/>
      <c r="J35" s="40" t="s">
        <v>221</v>
      </c>
    </row>
    <row r="36" spans="1:10" ht="94.5" x14ac:dyDescent="0.25">
      <c r="A36" s="38"/>
      <c r="B36" s="38"/>
      <c r="C36" s="40"/>
      <c r="D36" s="42" t="s">
        <v>62</v>
      </c>
      <c r="E36" s="40"/>
      <c r="F36" s="42" t="s">
        <v>223</v>
      </c>
      <c r="G36" s="40"/>
      <c r="H36" s="40"/>
      <c r="I36" s="40"/>
      <c r="J36" s="40" t="s">
        <v>222</v>
      </c>
    </row>
    <row r="37" spans="1:10" x14ac:dyDescent="0.25">
      <c r="A37" s="38"/>
      <c r="B37" s="38"/>
      <c r="C37" s="40"/>
      <c r="D37" s="41" t="s">
        <v>199</v>
      </c>
      <c r="E37" s="40"/>
      <c r="F37" s="41" t="s">
        <v>199</v>
      </c>
      <c r="G37" s="40"/>
      <c r="H37" s="40"/>
      <c r="I37" s="40"/>
      <c r="J37" s="40"/>
    </row>
    <row r="38" spans="1:10" ht="78.75" x14ac:dyDescent="0.25">
      <c r="A38" s="38"/>
      <c r="B38" s="38"/>
      <c r="C38" s="40"/>
      <c r="D38" s="42" t="s">
        <v>63</v>
      </c>
      <c r="E38" s="40"/>
      <c r="F38" s="42" t="s">
        <v>224</v>
      </c>
      <c r="G38" s="40"/>
      <c r="H38" s="40"/>
      <c r="I38" s="40"/>
      <c r="J38" s="40" t="s">
        <v>225</v>
      </c>
    </row>
    <row r="39" spans="1:10" ht="47.25" x14ac:dyDescent="0.25">
      <c r="A39" s="38"/>
      <c r="B39" s="38"/>
      <c r="C39" s="40"/>
      <c r="D39" s="42" t="s">
        <v>64</v>
      </c>
      <c r="E39" s="40"/>
      <c r="F39" s="42" t="s">
        <v>226</v>
      </c>
      <c r="G39" s="40"/>
      <c r="H39" s="40"/>
      <c r="I39" s="40"/>
      <c r="J39" s="40" t="s">
        <v>227</v>
      </c>
    </row>
    <row r="40" spans="1:10" ht="63" x14ac:dyDescent="0.25">
      <c r="A40" s="38"/>
      <c r="B40" s="38"/>
      <c r="C40" s="40"/>
      <c r="D40" s="42" t="s">
        <v>65</v>
      </c>
      <c r="E40" s="40"/>
      <c r="F40" s="42" t="s">
        <v>229</v>
      </c>
      <c r="G40" s="40"/>
      <c r="H40" s="40"/>
      <c r="I40" s="40"/>
      <c r="J40" s="40" t="s">
        <v>228</v>
      </c>
    </row>
    <row r="41" spans="1:10" ht="173.25" x14ac:dyDescent="0.25">
      <c r="A41" s="38"/>
      <c r="B41" s="38"/>
      <c r="C41" s="40"/>
      <c r="D41" s="42" t="s">
        <v>66</v>
      </c>
      <c r="E41" s="40"/>
      <c r="F41" s="42" t="s">
        <v>66</v>
      </c>
      <c r="G41" s="40"/>
      <c r="H41" s="40"/>
      <c r="I41" s="40"/>
      <c r="J41" s="40" t="s">
        <v>230</v>
      </c>
    </row>
    <row r="42" spans="1:10" ht="78.75" x14ac:dyDescent="0.25">
      <c r="A42" s="38"/>
      <c r="B42" s="38"/>
      <c r="C42" s="40"/>
      <c r="D42" s="42" t="s">
        <v>57</v>
      </c>
      <c r="E42" s="40"/>
      <c r="F42" s="42" t="s">
        <v>224</v>
      </c>
      <c r="G42" s="40"/>
      <c r="H42" s="40"/>
      <c r="I42" s="40"/>
      <c r="J42" s="40" t="s">
        <v>225</v>
      </c>
    </row>
    <row r="43" spans="1:10" ht="78.75" x14ac:dyDescent="0.25">
      <c r="A43" s="38"/>
      <c r="B43" s="38"/>
      <c r="C43" s="40"/>
      <c r="D43" s="42" t="s">
        <v>67</v>
      </c>
      <c r="E43" s="40"/>
      <c r="F43" s="42" t="s">
        <v>231</v>
      </c>
      <c r="G43" s="40"/>
      <c r="H43" s="40"/>
      <c r="I43" s="40"/>
      <c r="J43" s="40" t="s">
        <v>232</v>
      </c>
    </row>
    <row r="44" spans="1:10" x14ac:dyDescent="0.25">
      <c r="A44" s="38"/>
      <c r="B44" s="38"/>
      <c r="C44" s="40"/>
      <c r="D44" s="41" t="s">
        <v>200</v>
      </c>
      <c r="E44" s="40"/>
      <c r="F44" s="41" t="s">
        <v>200</v>
      </c>
      <c r="G44" s="40"/>
      <c r="H44" s="40"/>
      <c r="I44" s="40"/>
      <c r="J44" s="40"/>
    </row>
    <row r="45" spans="1:10" ht="110.25" x14ac:dyDescent="0.25">
      <c r="A45" s="38"/>
      <c r="B45" s="38"/>
      <c r="C45" s="40"/>
      <c r="D45" s="42" t="s">
        <v>68</v>
      </c>
      <c r="E45" s="40"/>
      <c r="F45" s="42" t="s">
        <v>68</v>
      </c>
      <c r="G45" s="40"/>
      <c r="H45" s="40"/>
      <c r="I45" s="40"/>
      <c r="J45" s="40" t="s">
        <v>216</v>
      </c>
    </row>
    <row r="46" spans="1:10" ht="31.5" x14ac:dyDescent="0.25">
      <c r="A46" s="38"/>
      <c r="B46" s="38"/>
      <c r="C46" s="40"/>
      <c r="D46" s="42" t="s">
        <v>69</v>
      </c>
      <c r="E46" s="40"/>
      <c r="F46" s="42" t="s">
        <v>234</v>
      </c>
      <c r="G46" s="40"/>
      <c r="H46" s="40"/>
      <c r="I46" s="40"/>
      <c r="J46" s="40" t="s">
        <v>233</v>
      </c>
    </row>
    <row r="47" spans="1:10" ht="63" x14ac:dyDescent="0.25">
      <c r="A47" s="38"/>
      <c r="B47" s="38"/>
      <c r="C47" s="40"/>
      <c r="D47" s="42" t="s">
        <v>70</v>
      </c>
      <c r="E47" s="40"/>
      <c r="F47" s="42" t="s">
        <v>70</v>
      </c>
      <c r="G47" s="40"/>
      <c r="H47" s="40"/>
      <c r="I47" s="40"/>
      <c r="J47" s="40" t="s">
        <v>235</v>
      </c>
    </row>
    <row r="48" spans="1:10" x14ac:dyDescent="0.25">
      <c r="A48" s="38"/>
      <c r="B48" s="38"/>
      <c r="C48" s="40"/>
      <c r="D48" s="41" t="s">
        <v>201</v>
      </c>
      <c r="E48" s="40"/>
      <c r="F48" s="41" t="s">
        <v>201</v>
      </c>
      <c r="G48" s="40"/>
      <c r="H48" s="40"/>
      <c r="I48" s="40"/>
      <c r="J48" s="40"/>
    </row>
    <row r="49" spans="1:10" ht="173.25" x14ac:dyDescent="0.25">
      <c r="A49" s="38"/>
      <c r="B49" s="38"/>
      <c r="C49" s="40"/>
      <c r="D49" s="42" t="s">
        <v>251</v>
      </c>
      <c r="E49" s="40"/>
      <c r="F49" s="42"/>
      <c r="G49" s="40" t="s">
        <v>272</v>
      </c>
      <c r="H49" s="40"/>
      <c r="I49" s="40"/>
      <c r="J49" s="40" t="s">
        <v>236</v>
      </c>
    </row>
    <row r="50" spans="1:10" ht="283.5" x14ac:dyDescent="0.25">
      <c r="A50" s="38"/>
      <c r="B50" s="38"/>
      <c r="C50" s="40"/>
      <c r="D50" s="42" t="s">
        <v>71</v>
      </c>
      <c r="E50" s="40"/>
      <c r="F50" s="46" t="s">
        <v>71</v>
      </c>
      <c r="G50" s="40"/>
      <c r="H50" s="40"/>
      <c r="I50" s="40"/>
      <c r="J50" s="40" t="s">
        <v>252</v>
      </c>
    </row>
    <row r="51" spans="1:10" ht="63" x14ac:dyDescent="0.25">
      <c r="A51" s="38"/>
      <c r="B51" s="38"/>
      <c r="C51" s="40"/>
      <c r="D51" s="42" t="s">
        <v>72</v>
      </c>
      <c r="E51" s="40"/>
      <c r="F51" s="43" t="s">
        <v>271</v>
      </c>
      <c r="G51" s="40"/>
      <c r="H51" s="40"/>
      <c r="I51" s="40"/>
      <c r="J51" s="40" t="s">
        <v>247</v>
      </c>
    </row>
    <row r="52" spans="1:10" ht="78.75" x14ac:dyDescent="0.25">
      <c r="A52" s="38"/>
      <c r="B52" s="38"/>
      <c r="C52" s="40"/>
      <c r="D52" s="42" t="s">
        <v>73</v>
      </c>
      <c r="E52" s="40"/>
      <c r="F52" s="42" t="s">
        <v>253</v>
      </c>
      <c r="G52" s="40"/>
      <c r="H52" s="40"/>
      <c r="I52" s="40"/>
      <c r="J52" s="40" t="s">
        <v>237</v>
      </c>
    </row>
    <row r="53" spans="1:10" x14ac:dyDescent="0.25">
      <c r="A53" s="38"/>
      <c r="B53" s="38"/>
      <c r="C53" s="40"/>
      <c r="D53" s="42" t="s">
        <v>74</v>
      </c>
      <c r="E53" s="40"/>
      <c r="F53" s="42" t="s">
        <v>74</v>
      </c>
      <c r="G53" s="40"/>
      <c r="H53" s="40"/>
      <c r="I53" s="40"/>
      <c r="J53" s="40"/>
    </row>
    <row r="54" spans="1:10" ht="78.75" x14ac:dyDescent="0.25">
      <c r="A54" s="38"/>
      <c r="B54" s="38"/>
      <c r="C54" s="40"/>
      <c r="D54" s="42" t="s">
        <v>75</v>
      </c>
      <c r="E54" s="40"/>
      <c r="F54" s="45" t="s">
        <v>238</v>
      </c>
      <c r="G54" s="40"/>
      <c r="H54" s="40"/>
      <c r="I54" s="40"/>
      <c r="J54" s="40" t="s">
        <v>240</v>
      </c>
    </row>
    <row r="55" spans="1:10" ht="110.25" x14ac:dyDescent="0.25">
      <c r="A55" s="38"/>
      <c r="B55" s="38"/>
      <c r="C55" s="40"/>
      <c r="D55" s="42" t="s">
        <v>76</v>
      </c>
      <c r="E55" s="40"/>
      <c r="F55" s="45" t="s">
        <v>239</v>
      </c>
      <c r="G55" s="40"/>
      <c r="H55" s="40"/>
      <c r="I55" s="40"/>
      <c r="J55" s="40" t="s">
        <v>241</v>
      </c>
    </row>
    <row r="56" spans="1:10" ht="31.5" x14ac:dyDescent="0.25">
      <c r="A56" s="38"/>
      <c r="B56" s="38"/>
      <c r="C56" s="40"/>
      <c r="D56" s="42" t="s">
        <v>77</v>
      </c>
      <c r="E56" s="40"/>
      <c r="F56" s="42" t="s">
        <v>77</v>
      </c>
      <c r="G56" s="40"/>
      <c r="H56" s="40"/>
      <c r="I56" s="40"/>
      <c r="J56" s="40" t="s">
        <v>242</v>
      </c>
    </row>
    <row r="57" spans="1:10" ht="63" x14ac:dyDescent="0.25">
      <c r="A57" s="38"/>
      <c r="B57" s="38"/>
      <c r="C57" s="40"/>
      <c r="D57" s="42" t="s">
        <v>78</v>
      </c>
      <c r="E57" s="40"/>
      <c r="F57" s="42" t="s">
        <v>244</v>
      </c>
      <c r="G57" s="40"/>
      <c r="H57" s="40"/>
      <c r="I57" s="40"/>
      <c r="J57" s="40" t="s">
        <v>243</v>
      </c>
    </row>
    <row r="58" spans="1:10" ht="141.75" x14ac:dyDescent="0.25">
      <c r="A58" s="38"/>
      <c r="B58" s="38"/>
      <c r="C58" s="40"/>
      <c r="D58" s="42" t="s">
        <v>79</v>
      </c>
      <c r="E58" s="40"/>
      <c r="F58" s="45" t="s">
        <v>79</v>
      </c>
      <c r="G58" s="40"/>
      <c r="H58" s="40"/>
      <c r="I58" s="40"/>
      <c r="J58" s="40" t="s">
        <v>245</v>
      </c>
    </row>
    <row r="59" spans="1:10" x14ac:dyDescent="0.25">
      <c r="A59" s="38"/>
      <c r="B59" s="38"/>
      <c r="C59" s="40"/>
      <c r="D59" s="41" t="s">
        <v>153</v>
      </c>
      <c r="E59" s="40"/>
      <c r="F59" s="41" t="s">
        <v>246</v>
      </c>
      <c r="G59" s="40"/>
      <c r="H59" s="40"/>
      <c r="I59" s="40"/>
      <c r="J59" s="40"/>
    </row>
    <row r="60" spans="1:10" ht="31.5" x14ac:dyDescent="0.25">
      <c r="A60" s="38"/>
      <c r="B60" s="38"/>
      <c r="C60" s="40"/>
      <c r="D60" s="42" t="s">
        <v>80</v>
      </c>
      <c r="E60" s="40"/>
      <c r="F60" s="42" t="s">
        <v>184</v>
      </c>
      <c r="G60" s="40"/>
      <c r="H60" s="40"/>
      <c r="I60" s="40"/>
      <c r="J60" s="40" t="s">
        <v>155</v>
      </c>
    </row>
    <row r="61" spans="1:10" ht="47.25" x14ac:dyDescent="0.25">
      <c r="A61" s="38"/>
      <c r="B61" s="38"/>
      <c r="C61" s="40"/>
      <c r="D61" s="42" t="s">
        <v>81</v>
      </c>
      <c r="E61" s="40"/>
      <c r="F61" s="42" t="s">
        <v>185</v>
      </c>
      <c r="G61" s="40"/>
      <c r="H61" s="40"/>
      <c r="I61" s="40"/>
      <c r="J61" s="40" t="s">
        <v>155</v>
      </c>
    </row>
    <row r="62" spans="1:10" x14ac:dyDescent="0.25">
      <c r="A62" s="38"/>
      <c r="B62" s="38"/>
      <c r="C62" s="40"/>
      <c r="D62" s="42" t="s">
        <v>82</v>
      </c>
      <c r="E62" s="40"/>
      <c r="F62" s="42" t="s">
        <v>186</v>
      </c>
      <c r="G62" s="40"/>
      <c r="H62" s="40"/>
      <c r="I62" s="40"/>
      <c r="J62" s="40" t="s">
        <v>155</v>
      </c>
    </row>
    <row r="63" spans="1:10" ht="63" x14ac:dyDescent="0.25">
      <c r="A63" s="38"/>
      <c r="B63" s="38"/>
      <c r="C63" s="40"/>
      <c r="D63" s="42" t="s">
        <v>83</v>
      </c>
      <c r="E63" s="40"/>
      <c r="F63" s="42" t="s">
        <v>83</v>
      </c>
      <c r="G63" s="40"/>
      <c r="H63" s="40"/>
      <c r="I63" s="40"/>
      <c r="J63" s="40" t="s">
        <v>155</v>
      </c>
    </row>
    <row r="64" spans="1:10" ht="31.5" x14ac:dyDescent="0.25">
      <c r="A64" s="38"/>
      <c r="B64" s="38"/>
      <c r="C64" s="40"/>
      <c r="D64" s="42" t="s">
        <v>84</v>
      </c>
      <c r="E64" s="40"/>
      <c r="F64" s="42" t="s">
        <v>84</v>
      </c>
      <c r="G64" s="40"/>
      <c r="H64" s="40"/>
      <c r="I64" s="40"/>
      <c r="J64" s="40" t="s">
        <v>155</v>
      </c>
    </row>
    <row r="65" spans="1:10" ht="31.5" x14ac:dyDescent="0.25">
      <c r="A65" s="38"/>
      <c r="B65" s="38"/>
      <c r="C65" s="40"/>
      <c r="D65" s="42" t="s">
        <v>85</v>
      </c>
      <c r="E65" s="40"/>
      <c r="F65" s="42" t="s">
        <v>85</v>
      </c>
      <c r="G65" s="40"/>
      <c r="H65" s="40"/>
      <c r="I65" s="40"/>
      <c r="J65" s="40" t="s">
        <v>155</v>
      </c>
    </row>
    <row r="66" spans="1:10" ht="31.5" x14ac:dyDescent="0.25">
      <c r="A66" s="38"/>
      <c r="B66" s="38"/>
      <c r="C66" s="40"/>
      <c r="D66" s="42" t="s">
        <v>86</v>
      </c>
      <c r="E66" s="40"/>
      <c r="F66" s="42" t="s">
        <v>187</v>
      </c>
      <c r="G66" s="40"/>
      <c r="H66" s="40"/>
      <c r="I66" s="40"/>
      <c r="J66" s="40" t="s">
        <v>155</v>
      </c>
    </row>
    <row r="67" spans="1:10" ht="47.25" x14ac:dyDescent="0.25">
      <c r="A67" s="38"/>
      <c r="B67" s="38"/>
      <c r="C67" s="40"/>
      <c r="D67" s="42" t="s">
        <v>87</v>
      </c>
      <c r="E67" s="40"/>
      <c r="F67" s="42" t="s">
        <v>87</v>
      </c>
      <c r="G67" s="40"/>
      <c r="H67" s="40"/>
      <c r="I67" s="40"/>
      <c r="J67" s="40" t="s">
        <v>155</v>
      </c>
    </row>
    <row r="68" spans="1:10" ht="47.25" x14ac:dyDescent="0.25">
      <c r="A68" s="38"/>
      <c r="B68" s="38"/>
      <c r="C68" s="40"/>
      <c r="D68" s="42" t="s">
        <v>88</v>
      </c>
      <c r="E68" s="40"/>
      <c r="F68" s="42" t="s">
        <v>88</v>
      </c>
      <c r="G68" s="40"/>
      <c r="H68" s="40"/>
      <c r="I68" s="40"/>
      <c r="J68" s="40" t="s">
        <v>155</v>
      </c>
    </row>
    <row r="69" spans="1:10" ht="126" x14ac:dyDescent="0.25">
      <c r="A69" s="38">
        <v>2</v>
      </c>
      <c r="B69" s="38" t="s">
        <v>142</v>
      </c>
      <c r="C69" s="39" t="s">
        <v>24</v>
      </c>
      <c r="D69" s="40"/>
      <c r="E69" s="40" t="s">
        <v>26</v>
      </c>
      <c r="F69" s="39" t="s">
        <v>207</v>
      </c>
      <c r="G69" s="40"/>
      <c r="H69" s="40"/>
      <c r="I69" s="40"/>
      <c r="J69" s="40"/>
    </row>
    <row r="70" spans="1:10" x14ac:dyDescent="0.25">
      <c r="A70" s="38"/>
      <c r="B70" s="38"/>
      <c r="C70" s="40"/>
      <c r="D70" s="41" t="s">
        <v>143</v>
      </c>
      <c r="E70" s="40"/>
      <c r="F70" s="41" t="s">
        <v>154</v>
      </c>
      <c r="G70" s="40"/>
      <c r="H70" s="40"/>
      <c r="I70" s="40"/>
      <c r="J70" s="40"/>
    </row>
    <row r="71" spans="1:10" ht="31.5" x14ac:dyDescent="0.25">
      <c r="A71" s="38"/>
      <c r="B71" s="38"/>
      <c r="C71" s="40"/>
      <c r="D71" s="42" t="s">
        <v>89</v>
      </c>
      <c r="E71" s="40"/>
      <c r="F71" s="42" t="s">
        <v>89</v>
      </c>
      <c r="G71" s="40"/>
      <c r="H71" s="40"/>
      <c r="I71" s="40"/>
      <c r="J71" s="40" t="s">
        <v>155</v>
      </c>
    </row>
    <row r="72" spans="1:10" ht="31.5" x14ac:dyDescent="0.25">
      <c r="A72" s="38"/>
      <c r="B72" s="38"/>
      <c r="C72" s="40"/>
      <c r="D72" s="42" t="s">
        <v>41</v>
      </c>
      <c r="E72" s="40"/>
      <c r="F72" s="42" t="s">
        <v>41</v>
      </c>
      <c r="G72" s="40"/>
      <c r="H72" s="40"/>
      <c r="I72" s="40"/>
      <c r="J72" s="40" t="s">
        <v>155</v>
      </c>
    </row>
    <row r="73" spans="1:10" ht="31.5" x14ac:dyDescent="0.25">
      <c r="A73" s="38"/>
      <c r="B73" s="38"/>
      <c r="C73" s="40"/>
      <c r="D73" s="42" t="s">
        <v>42</v>
      </c>
      <c r="E73" s="40"/>
      <c r="F73" s="42" t="s">
        <v>42</v>
      </c>
      <c r="G73" s="40"/>
      <c r="H73" s="40"/>
      <c r="I73" s="40"/>
      <c r="J73" s="40" t="s">
        <v>155</v>
      </c>
    </row>
    <row r="74" spans="1:10" ht="47.25" x14ac:dyDescent="0.25">
      <c r="A74" s="38"/>
      <c r="B74" s="38"/>
      <c r="C74" s="40"/>
      <c r="D74" s="42" t="s">
        <v>90</v>
      </c>
      <c r="E74" s="40"/>
      <c r="F74" s="42" t="s">
        <v>156</v>
      </c>
      <c r="G74" s="40"/>
      <c r="H74" s="40"/>
      <c r="I74" s="40"/>
      <c r="J74" s="40" t="s">
        <v>166</v>
      </c>
    </row>
    <row r="75" spans="1:10" ht="63" x14ac:dyDescent="0.25">
      <c r="A75" s="38"/>
      <c r="B75" s="38"/>
      <c r="C75" s="40"/>
      <c r="D75" s="42" t="s">
        <v>91</v>
      </c>
      <c r="E75" s="40"/>
      <c r="F75" s="42" t="s">
        <v>157</v>
      </c>
      <c r="G75" s="40"/>
      <c r="H75" s="40"/>
      <c r="I75" s="40"/>
      <c r="J75" s="40" t="s">
        <v>167</v>
      </c>
    </row>
    <row r="76" spans="1:10" ht="31.5" x14ac:dyDescent="0.25">
      <c r="A76" s="38"/>
      <c r="B76" s="38"/>
      <c r="C76" s="40"/>
      <c r="D76" s="41" t="s">
        <v>144</v>
      </c>
      <c r="E76" s="40"/>
      <c r="F76" s="41" t="s">
        <v>158</v>
      </c>
      <c r="G76" s="40"/>
      <c r="H76" s="40"/>
      <c r="I76" s="40"/>
      <c r="J76" s="40"/>
    </row>
    <row r="77" spans="1:10" ht="47.25" x14ac:dyDescent="0.25">
      <c r="A77" s="38"/>
      <c r="B77" s="38"/>
      <c r="C77" s="40"/>
      <c r="D77" s="42" t="s">
        <v>92</v>
      </c>
      <c r="E77" s="40"/>
      <c r="F77" s="42" t="s">
        <v>92</v>
      </c>
      <c r="G77" s="40"/>
      <c r="H77" s="40"/>
      <c r="I77" s="40"/>
      <c r="J77" s="40" t="s">
        <v>155</v>
      </c>
    </row>
    <row r="78" spans="1:10" x14ac:dyDescent="0.25">
      <c r="A78" s="38"/>
      <c r="B78" s="38"/>
      <c r="C78" s="40"/>
      <c r="D78" s="42" t="s">
        <v>93</v>
      </c>
      <c r="E78" s="40"/>
      <c r="F78" s="42" t="s">
        <v>93</v>
      </c>
      <c r="G78" s="40"/>
      <c r="H78" s="40"/>
      <c r="I78" s="40"/>
      <c r="J78" s="40" t="s">
        <v>155</v>
      </c>
    </row>
    <row r="79" spans="1:10" x14ac:dyDescent="0.25">
      <c r="A79" s="38"/>
      <c r="B79" s="38"/>
      <c r="C79" s="40"/>
      <c r="D79" s="42" t="s">
        <v>94</v>
      </c>
      <c r="E79" s="40"/>
      <c r="F79" s="42" t="s">
        <v>159</v>
      </c>
      <c r="G79" s="40"/>
      <c r="H79" s="40"/>
      <c r="I79" s="40"/>
      <c r="J79" s="40"/>
    </row>
    <row r="80" spans="1:10" x14ac:dyDescent="0.25">
      <c r="A80" s="38"/>
      <c r="B80" s="38"/>
      <c r="C80" s="40"/>
      <c r="D80" s="42" t="s">
        <v>95</v>
      </c>
      <c r="E80" s="40"/>
      <c r="F80" s="42" t="s">
        <v>95</v>
      </c>
      <c r="G80" s="40"/>
      <c r="H80" s="40"/>
      <c r="I80" s="40"/>
      <c r="J80" s="40" t="s">
        <v>155</v>
      </c>
    </row>
    <row r="81" spans="1:10" x14ac:dyDescent="0.25">
      <c r="A81" s="38"/>
      <c r="B81" s="38"/>
      <c r="C81" s="40"/>
      <c r="D81" s="42" t="s">
        <v>96</v>
      </c>
      <c r="E81" s="40"/>
      <c r="F81" s="42" t="s">
        <v>96</v>
      </c>
      <c r="G81" s="40"/>
      <c r="H81" s="40"/>
      <c r="I81" s="40"/>
      <c r="J81" s="40" t="s">
        <v>155</v>
      </c>
    </row>
    <row r="82" spans="1:10" x14ac:dyDescent="0.25">
      <c r="A82" s="38"/>
      <c r="B82" s="38"/>
      <c r="C82" s="40"/>
      <c r="D82" s="42" t="s">
        <v>97</v>
      </c>
      <c r="E82" s="40"/>
      <c r="F82" s="42" t="s">
        <v>97</v>
      </c>
      <c r="G82" s="40"/>
      <c r="H82" s="40"/>
      <c r="I82" s="40"/>
      <c r="J82" s="40" t="s">
        <v>155</v>
      </c>
    </row>
    <row r="83" spans="1:10" x14ac:dyDescent="0.25">
      <c r="A83" s="38"/>
      <c r="B83" s="38"/>
      <c r="C83" s="40"/>
      <c r="D83" s="42" t="s">
        <v>98</v>
      </c>
      <c r="E83" s="40"/>
      <c r="F83" s="42" t="s">
        <v>98</v>
      </c>
      <c r="G83" s="40"/>
      <c r="H83" s="40"/>
      <c r="I83" s="40"/>
      <c r="J83" s="40" t="s">
        <v>155</v>
      </c>
    </row>
    <row r="84" spans="1:10" x14ac:dyDescent="0.25">
      <c r="A84" s="38"/>
      <c r="B84" s="38"/>
      <c r="C84" s="40"/>
      <c r="D84" s="42" t="s">
        <v>99</v>
      </c>
      <c r="E84" s="40"/>
      <c r="F84" s="42" t="s">
        <v>99</v>
      </c>
      <c r="G84" s="40"/>
      <c r="H84" s="40"/>
      <c r="I84" s="40"/>
      <c r="J84" s="40" t="s">
        <v>155</v>
      </c>
    </row>
    <row r="85" spans="1:10" x14ac:dyDescent="0.25">
      <c r="A85" s="38"/>
      <c r="B85" s="38"/>
      <c r="C85" s="40"/>
      <c r="D85" s="42" t="s">
        <v>100</v>
      </c>
      <c r="E85" s="40"/>
      <c r="F85" s="42" t="s">
        <v>100</v>
      </c>
      <c r="G85" s="40"/>
      <c r="H85" s="40"/>
      <c r="I85" s="40"/>
      <c r="J85" s="40" t="s">
        <v>155</v>
      </c>
    </row>
    <row r="86" spans="1:10" x14ac:dyDescent="0.25">
      <c r="A86" s="38"/>
      <c r="B86" s="38"/>
      <c r="C86" s="40"/>
      <c r="D86" s="42" t="s">
        <v>101</v>
      </c>
      <c r="E86" s="40"/>
      <c r="F86" s="42" t="s">
        <v>101</v>
      </c>
      <c r="G86" s="40"/>
      <c r="H86" s="40"/>
      <c r="I86" s="40"/>
      <c r="J86" s="40" t="s">
        <v>155</v>
      </c>
    </row>
    <row r="87" spans="1:10" x14ac:dyDescent="0.25">
      <c r="A87" s="38"/>
      <c r="B87" s="38"/>
      <c r="C87" s="40"/>
      <c r="D87" s="42" t="s">
        <v>102</v>
      </c>
      <c r="E87" s="40"/>
      <c r="F87" s="42" t="s">
        <v>102</v>
      </c>
      <c r="G87" s="40"/>
      <c r="H87" s="40"/>
      <c r="I87" s="40"/>
      <c r="J87" s="40" t="s">
        <v>155</v>
      </c>
    </row>
    <row r="88" spans="1:10" ht="31.5" x14ac:dyDescent="0.25">
      <c r="A88" s="38"/>
      <c r="B88" s="38"/>
      <c r="C88" s="40"/>
      <c r="D88" s="42" t="s">
        <v>103</v>
      </c>
      <c r="E88" s="40"/>
      <c r="F88" s="42" t="s">
        <v>160</v>
      </c>
      <c r="G88" s="40"/>
      <c r="H88" s="40"/>
      <c r="I88" s="40"/>
      <c r="J88" s="40" t="s">
        <v>155</v>
      </c>
    </row>
    <row r="89" spans="1:10" x14ac:dyDescent="0.25">
      <c r="A89" s="38"/>
      <c r="B89" s="38"/>
      <c r="C89" s="40"/>
      <c r="D89" s="42" t="s">
        <v>104</v>
      </c>
      <c r="E89" s="40"/>
      <c r="F89" s="42" t="s">
        <v>161</v>
      </c>
      <c r="G89" s="40"/>
      <c r="H89" s="40"/>
      <c r="I89" s="40"/>
      <c r="J89" s="40" t="s">
        <v>155</v>
      </c>
    </row>
    <row r="90" spans="1:10" x14ac:dyDescent="0.25">
      <c r="A90" s="38"/>
      <c r="B90" s="38"/>
      <c r="C90" s="40"/>
      <c r="D90" s="42" t="s">
        <v>105</v>
      </c>
      <c r="E90" s="40"/>
      <c r="F90" s="42" t="s">
        <v>105</v>
      </c>
      <c r="G90" s="40"/>
      <c r="H90" s="40"/>
      <c r="I90" s="40"/>
      <c r="J90" s="40" t="s">
        <v>155</v>
      </c>
    </row>
    <row r="91" spans="1:10" x14ac:dyDescent="0.25">
      <c r="A91" s="38"/>
      <c r="B91" s="38"/>
      <c r="C91" s="40"/>
      <c r="D91" s="42" t="s">
        <v>106</v>
      </c>
      <c r="E91" s="40"/>
      <c r="F91" s="42" t="s">
        <v>162</v>
      </c>
      <c r="G91" s="40"/>
      <c r="H91" s="40"/>
      <c r="I91" s="40"/>
      <c r="J91" s="40" t="s">
        <v>155</v>
      </c>
    </row>
    <row r="92" spans="1:10" ht="31.5" x14ac:dyDescent="0.25">
      <c r="A92" s="38"/>
      <c r="B92" s="38"/>
      <c r="C92" s="40"/>
      <c r="D92" s="42" t="s">
        <v>107</v>
      </c>
      <c r="E92" s="40"/>
      <c r="F92" s="42" t="s">
        <v>107</v>
      </c>
      <c r="G92" s="40"/>
      <c r="H92" s="40"/>
      <c r="I92" s="40"/>
      <c r="J92" s="40" t="s">
        <v>155</v>
      </c>
    </row>
    <row r="93" spans="1:10" x14ac:dyDescent="0.25">
      <c r="A93" s="38"/>
      <c r="B93" s="38"/>
      <c r="C93" s="40"/>
      <c r="D93" s="41" t="s">
        <v>145</v>
      </c>
      <c r="E93" s="40"/>
      <c r="F93" s="41" t="s">
        <v>163</v>
      </c>
      <c r="G93" s="40"/>
      <c r="H93" s="40"/>
      <c r="I93" s="40"/>
      <c r="J93" s="40"/>
    </row>
    <row r="94" spans="1:10" x14ac:dyDescent="0.25">
      <c r="A94" s="38"/>
      <c r="B94" s="38"/>
      <c r="C94" s="40"/>
      <c r="D94" s="41" t="s">
        <v>146</v>
      </c>
      <c r="E94" s="40"/>
      <c r="F94" s="41" t="s">
        <v>146</v>
      </c>
      <c r="G94" s="40"/>
      <c r="H94" s="40"/>
      <c r="I94" s="40"/>
      <c r="J94" s="40"/>
    </row>
    <row r="95" spans="1:10" ht="220.5" x14ac:dyDescent="0.25">
      <c r="A95" s="38"/>
      <c r="B95" s="38"/>
      <c r="C95" s="40"/>
      <c r="D95" s="42" t="s">
        <v>108</v>
      </c>
      <c r="E95" s="40"/>
      <c r="F95" s="42" t="s">
        <v>188</v>
      </c>
      <c r="G95" s="40"/>
      <c r="H95" s="40"/>
      <c r="I95" s="40"/>
      <c r="J95" s="43" t="s">
        <v>189</v>
      </c>
    </row>
    <row r="96" spans="1:10" ht="47.25" x14ac:dyDescent="0.25">
      <c r="A96" s="38"/>
      <c r="B96" s="38"/>
      <c r="C96" s="40"/>
      <c r="D96" s="42" t="s">
        <v>109</v>
      </c>
      <c r="E96" s="40"/>
      <c r="F96" s="42" t="s">
        <v>164</v>
      </c>
      <c r="G96" s="40"/>
      <c r="H96" s="40"/>
      <c r="I96" s="40"/>
      <c r="J96" s="43" t="s">
        <v>165</v>
      </c>
    </row>
    <row r="97" spans="1:10" ht="63" x14ac:dyDescent="0.25">
      <c r="A97" s="38"/>
      <c r="B97" s="38"/>
      <c r="C97" s="40"/>
      <c r="D97" s="42" t="s">
        <v>110</v>
      </c>
      <c r="E97" s="40"/>
      <c r="F97" s="42" t="s">
        <v>110</v>
      </c>
      <c r="G97" s="40"/>
      <c r="H97" s="40"/>
      <c r="I97" s="40"/>
      <c r="J97" s="43" t="s">
        <v>168</v>
      </c>
    </row>
    <row r="98" spans="1:10" ht="47.25" x14ac:dyDescent="0.25">
      <c r="A98" s="38"/>
      <c r="B98" s="38"/>
      <c r="C98" s="40"/>
      <c r="D98" s="42" t="s">
        <v>111</v>
      </c>
      <c r="E98" s="40"/>
      <c r="F98" s="42" t="s">
        <v>111</v>
      </c>
      <c r="G98" s="40"/>
      <c r="H98" s="40"/>
      <c r="I98" s="40"/>
      <c r="J98" s="43" t="s">
        <v>169</v>
      </c>
    </row>
    <row r="99" spans="1:10" ht="63" x14ac:dyDescent="0.25">
      <c r="A99" s="38"/>
      <c r="B99" s="38"/>
      <c r="C99" s="40"/>
      <c r="D99" s="42" t="s">
        <v>112</v>
      </c>
      <c r="E99" s="40"/>
      <c r="F99" s="42" t="s">
        <v>112</v>
      </c>
      <c r="G99" s="40"/>
      <c r="H99" s="40"/>
      <c r="I99" s="40"/>
      <c r="J99" s="44" t="s">
        <v>170</v>
      </c>
    </row>
    <row r="100" spans="1:10" ht="31.5" x14ac:dyDescent="0.25">
      <c r="A100" s="38"/>
      <c r="B100" s="38"/>
      <c r="C100" s="40"/>
      <c r="D100" s="42" t="s">
        <v>113</v>
      </c>
      <c r="E100" s="40"/>
      <c r="F100" s="42" t="s">
        <v>171</v>
      </c>
      <c r="G100" s="40"/>
      <c r="H100" s="40"/>
      <c r="I100" s="40"/>
      <c r="J100" s="40"/>
    </row>
    <row r="101" spans="1:10" ht="31.5" x14ac:dyDescent="0.25">
      <c r="A101" s="38"/>
      <c r="B101" s="38"/>
      <c r="C101" s="40"/>
      <c r="D101" s="42" t="s">
        <v>114</v>
      </c>
      <c r="E101" s="40"/>
      <c r="F101" s="42" t="s">
        <v>114</v>
      </c>
      <c r="G101" s="40"/>
      <c r="H101" s="40"/>
      <c r="I101" s="40"/>
      <c r="J101" s="43" t="s">
        <v>172</v>
      </c>
    </row>
    <row r="102" spans="1:10" ht="31.5" x14ac:dyDescent="0.25">
      <c r="A102" s="38"/>
      <c r="B102" s="38"/>
      <c r="C102" s="40"/>
      <c r="D102" s="42" t="s">
        <v>115</v>
      </c>
      <c r="E102" s="40"/>
      <c r="F102" s="42" t="s">
        <v>115</v>
      </c>
      <c r="G102" s="40"/>
      <c r="H102" s="40"/>
      <c r="I102" s="40"/>
      <c r="J102" s="43" t="s">
        <v>172</v>
      </c>
    </row>
    <row r="103" spans="1:10" ht="31.5" x14ac:dyDescent="0.25">
      <c r="A103" s="38"/>
      <c r="B103" s="38"/>
      <c r="C103" s="40"/>
      <c r="D103" s="42" t="s">
        <v>116</v>
      </c>
      <c r="E103" s="40"/>
      <c r="F103" s="42" t="s">
        <v>116</v>
      </c>
      <c r="G103" s="40"/>
      <c r="H103" s="40"/>
      <c r="I103" s="40"/>
      <c r="J103" s="43" t="s">
        <v>172</v>
      </c>
    </row>
    <row r="104" spans="1:10" ht="31.5" x14ac:dyDescent="0.25">
      <c r="A104" s="38"/>
      <c r="B104" s="38"/>
      <c r="C104" s="40"/>
      <c r="D104" s="42" t="s">
        <v>117</v>
      </c>
      <c r="E104" s="40"/>
      <c r="F104" s="42" t="s">
        <v>117</v>
      </c>
      <c r="G104" s="40"/>
      <c r="H104" s="40"/>
      <c r="I104" s="40"/>
      <c r="J104" s="43" t="s">
        <v>172</v>
      </c>
    </row>
    <row r="105" spans="1:10" ht="47.25" x14ac:dyDescent="0.25">
      <c r="A105" s="38"/>
      <c r="B105" s="38"/>
      <c r="C105" s="40"/>
      <c r="D105" s="42" t="s">
        <v>118</v>
      </c>
      <c r="E105" s="40"/>
      <c r="F105" s="42" t="s">
        <v>118</v>
      </c>
      <c r="G105" s="40"/>
      <c r="H105" s="40"/>
      <c r="I105" s="40"/>
      <c r="J105" s="43" t="s">
        <v>173</v>
      </c>
    </row>
    <row r="106" spans="1:10" ht="47.25" x14ac:dyDescent="0.25">
      <c r="A106" s="38"/>
      <c r="B106" s="38"/>
      <c r="C106" s="40"/>
      <c r="D106" s="42" t="s">
        <v>119</v>
      </c>
      <c r="E106" s="40"/>
      <c r="F106" s="42" t="s">
        <v>119</v>
      </c>
      <c r="G106" s="40"/>
      <c r="H106" s="40"/>
      <c r="I106" s="40"/>
      <c r="J106" s="43" t="s">
        <v>173</v>
      </c>
    </row>
    <row r="107" spans="1:10" ht="47.25" x14ac:dyDescent="0.25">
      <c r="A107" s="38"/>
      <c r="B107" s="38"/>
      <c r="C107" s="40"/>
      <c r="D107" s="42" t="s">
        <v>120</v>
      </c>
      <c r="E107" s="40"/>
      <c r="F107" s="42" t="s">
        <v>120</v>
      </c>
      <c r="G107" s="40"/>
      <c r="H107" s="40"/>
      <c r="I107" s="40"/>
      <c r="J107" s="43" t="s">
        <v>173</v>
      </c>
    </row>
    <row r="108" spans="1:10" x14ac:dyDescent="0.25">
      <c r="A108" s="38"/>
      <c r="B108" s="38"/>
      <c r="C108" s="40"/>
      <c r="D108" s="42" t="s">
        <v>121</v>
      </c>
      <c r="E108" s="40"/>
      <c r="F108" s="42" t="s">
        <v>121</v>
      </c>
      <c r="G108" s="40"/>
      <c r="H108" s="40"/>
      <c r="I108" s="40"/>
      <c r="J108" s="43" t="s">
        <v>174</v>
      </c>
    </row>
    <row r="109" spans="1:10" ht="31.5" x14ac:dyDescent="0.25">
      <c r="A109" s="38"/>
      <c r="B109" s="38"/>
      <c r="C109" s="40"/>
      <c r="D109" s="42" t="s">
        <v>122</v>
      </c>
      <c r="E109" s="40"/>
      <c r="F109" s="42" t="s">
        <v>122</v>
      </c>
      <c r="G109" s="40"/>
      <c r="H109" s="40"/>
      <c r="I109" s="40"/>
      <c r="J109" s="43" t="s">
        <v>190</v>
      </c>
    </row>
    <row r="110" spans="1:10" ht="31.5" x14ac:dyDescent="0.25">
      <c r="A110" s="38"/>
      <c r="B110" s="38"/>
      <c r="C110" s="40"/>
      <c r="D110" s="42" t="s">
        <v>123</v>
      </c>
      <c r="E110" s="40"/>
      <c r="F110" s="42" t="s">
        <v>123</v>
      </c>
      <c r="G110" s="40"/>
      <c r="H110" s="40"/>
      <c r="I110" s="40"/>
      <c r="J110" s="43" t="s">
        <v>191</v>
      </c>
    </row>
    <row r="111" spans="1:10" ht="31.5" x14ac:dyDescent="0.25">
      <c r="A111" s="38"/>
      <c r="B111" s="38"/>
      <c r="C111" s="40"/>
      <c r="D111" s="42" t="s">
        <v>124</v>
      </c>
      <c r="E111" s="40"/>
      <c r="F111" s="42" t="s">
        <v>124</v>
      </c>
      <c r="G111" s="40"/>
      <c r="H111" s="40"/>
      <c r="I111" s="40"/>
      <c r="J111" s="43" t="s">
        <v>192</v>
      </c>
    </row>
    <row r="112" spans="1:10" ht="47.25" x14ac:dyDescent="0.25">
      <c r="A112" s="38"/>
      <c r="B112" s="38"/>
      <c r="C112" s="40"/>
      <c r="D112" s="42" t="s">
        <v>125</v>
      </c>
      <c r="E112" s="40"/>
      <c r="F112" s="42" t="s">
        <v>125</v>
      </c>
      <c r="G112" s="40"/>
      <c r="H112" s="40"/>
      <c r="I112" s="40"/>
      <c r="J112" s="43" t="s">
        <v>273</v>
      </c>
    </row>
    <row r="113" spans="1:10" ht="31.5" x14ac:dyDescent="0.25">
      <c r="A113" s="38"/>
      <c r="B113" s="38"/>
      <c r="C113" s="40"/>
      <c r="D113" s="42" t="s">
        <v>126</v>
      </c>
      <c r="E113" s="40"/>
      <c r="F113" s="42" t="s">
        <v>126</v>
      </c>
      <c r="G113" s="40"/>
      <c r="H113" s="40"/>
      <c r="I113" s="40"/>
      <c r="J113" s="43" t="s">
        <v>193</v>
      </c>
    </row>
    <row r="114" spans="1:10" ht="126" x14ac:dyDescent="0.25">
      <c r="A114" s="38"/>
      <c r="B114" s="38"/>
      <c r="C114" s="40"/>
      <c r="D114" s="42" t="s">
        <v>127</v>
      </c>
      <c r="E114" s="40"/>
      <c r="F114" s="42" t="s">
        <v>127</v>
      </c>
      <c r="G114" s="40"/>
      <c r="H114" s="40"/>
      <c r="I114" s="40"/>
      <c r="J114" s="43" t="s">
        <v>175</v>
      </c>
    </row>
    <row r="115" spans="1:10" x14ac:dyDescent="0.25">
      <c r="A115" s="38"/>
      <c r="B115" s="38"/>
      <c r="C115" s="40"/>
      <c r="D115" s="41" t="s">
        <v>147</v>
      </c>
      <c r="E115" s="40"/>
      <c r="F115" s="41" t="s">
        <v>147</v>
      </c>
      <c r="G115" s="40"/>
      <c r="H115" s="40"/>
      <c r="I115" s="40"/>
      <c r="J115" s="40"/>
    </row>
    <row r="116" spans="1:10" x14ac:dyDescent="0.25">
      <c r="A116" s="38"/>
      <c r="B116" s="38"/>
      <c r="C116" s="40"/>
      <c r="D116" s="41" t="s">
        <v>148</v>
      </c>
      <c r="E116" s="40"/>
      <c r="F116" s="41" t="s">
        <v>148</v>
      </c>
      <c r="G116" s="40"/>
      <c r="H116" s="40"/>
      <c r="I116" s="40"/>
      <c r="J116" s="40"/>
    </row>
    <row r="117" spans="1:10" ht="47.25" x14ac:dyDescent="0.25">
      <c r="A117" s="38"/>
      <c r="B117" s="38"/>
      <c r="C117" s="40"/>
      <c r="D117" s="42" t="s">
        <v>128</v>
      </c>
      <c r="E117" s="40"/>
      <c r="F117" s="43" t="s">
        <v>176</v>
      </c>
      <c r="G117" s="40"/>
      <c r="H117" s="40"/>
      <c r="I117" s="40"/>
      <c r="J117" s="43" t="s">
        <v>178</v>
      </c>
    </row>
    <row r="118" spans="1:10" ht="47.25" x14ac:dyDescent="0.25">
      <c r="A118" s="38"/>
      <c r="B118" s="38"/>
      <c r="C118" s="40"/>
      <c r="D118" s="42" t="s">
        <v>129</v>
      </c>
      <c r="E118" s="40"/>
      <c r="F118" s="43" t="s">
        <v>177</v>
      </c>
      <c r="G118" s="40"/>
      <c r="H118" s="40"/>
      <c r="I118" s="40"/>
      <c r="J118" s="43" t="s">
        <v>179</v>
      </c>
    </row>
    <row r="119" spans="1:10" x14ac:dyDescent="0.25">
      <c r="A119" s="38"/>
      <c r="B119" s="38"/>
      <c r="C119" s="40"/>
      <c r="D119" s="41" t="s">
        <v>149</v>
      </c>
      <c r="E119" s="40"/>
      <c r="F119" s="41" t="s">
        <v>149</v>
      </c>
      <c r="G119" s="40"/>
      <c r="H119" s="40"/>
      <c r="I119" s="40"/>
      <c r="J119" s="40"/>
    </row>
    <row r="120" spans="1:10" ht="31.5" x14ac:dyDescent="0.25">
      <c r="A120" s="38"/>
      <c r="B120" s="38"/>
      <c r="C120" s="40"/>
      <c r="D120" s="42" t="s">
        <v>130</v>
      </c>
      <c r="E120" s="40"/>
      <c r="F120" s="42" t="s">
        <v>130</v>
      </c>
      <c r="G120" s="40"/>
      <c r="H120" s="40"/>
      <c r="I120" s="40"/>
      <c r="J120" s="43" t="s">
        <v>180</v>
      </c>
    </row>
    <row r="121" spans="1:10" ht="31.5" x14ac:dyDescent="0.25">
      <c r="A121" s="38"/>
      <c r="B121" s="38"/>
      <c r="C121" s="40"/>
      <c r="D121" s="42" t="s">
        <v>131</v>
      </c>
      <c r="E121" s="40"/>
      <c r="F121" s="42" t="s">
        <v>182</v>
      </c>
      <c r="G121" s="40"/>
      <c r="H121" s="40"/>
      <c r="I121" s="40"/>
      <c r="J121" s="43" t="s">
        <v>181</v>
      </c>
    </row>
    <row r="122" spans="1:10" x14ac:dyDescent="0.25">
      <c r="A122" s="38"/>
      <c r="B122" s="38"/>
      <c r="C122" s="40"/>
      <c r="D122" s="41" t="s">
        <v>150</v>
      </c>
      <c r="E122" s="40"/>
      <c r="F122" s="41" t="s">
        <v>150</v>
      </c>
      <c r="G122" s="40"/>
      <c r="H122" s="40"/>
      <c r="I122" s="40"/>
      <c r="J122" s="40"/>
    </row>
    <row r="123" spans="1:10" ht="220.5" x14ac:dyDescent="0.25">
      <c r="A123" s="38"/>
      <c r="B123" s="38"/>
      <c r="C123" s="40"/>
      <c r="D123" s="42" t="s">
        <v>132</v>
      </c>
      <c r="E123" s="40"/>
      <c r="F123" s="42" t="s">
        <v>194</v>
      </c>
      <c r="G123" s="40"/>
      <c r="H123" s="40"/>
      <c r="I123" s="40"/>
      <c r="J123" s="43" t="s">
        <v>195</v>
      </c>
    </row>
    <row r="124" spans="1:10" x14ac:dyDescent="0.25">
      <c r="A124" s="38"/>
      <c r="B124" s="38"/>
      <c r="C124" s="40"/>
      <c r="D124" s="41" t="s">
        <v>151</v>
      </c>
      <c r="E124" s="40"/>
      <c r="F124" s="41" t="s">
        <v>133</v>
      </c>
      <c r="G124" s="40"/>
      <c r="H124" s="40"/>
      <c r="I124" s="40"/>
      <c r="J124" s="40"/>
    </row>
    <row r="125" spans="1:10" x14ac:dyDescent="0.25">
      <c r="A125" s="38"/>
      <c r="B125" s="38"/>
      <c r="C125" s="40"/>
      <c r="D125" s="42" t="s">
        <v>134</v>
      </c>
      <c r="E125" s="40"/>
      <c r="F125" s="42" t="s">
        <v>134</v>
      </c>
      <c r="G125" s="40"/>
      <c r="H125" s="40"/>
      <c r="I125" s="40"/>
      <c r="J125" s="40" t="s">
        <v>155</v>
      </c>
    </row>
    <row r="126" spans="1:10" x14ac:dyDescent="0.25">
      <c r="A126" s="38"/>
      <c r="B126" s="38"/>
      <c r="C126" s="40"/>
      <c r="D126" s="42" t="s">
        <v>135</v>
      </c>
      <c r="E126" s="40"/>
      <c r="F126" s="42" t="s">
        <v>135</v>
      </c>
      <c r="G126" s="40"/>
      <c r="H126" s="40"/>
      <c r="I126" s="40"/>
      <c r="J126" s="40" t="s">
        <v>155</v>
      </c>
    </row>
    <row r="127" spans="1:10" ht="31.5" x14ac:dyDescent="0.25">
      <c r="A127" s="38"/>
      <c r="B127" s="38"/>
      <c r="C127" s="40"/>
      <c r="D127" s="42" t="s">
        <v>136</v>
      </c>
      <c r="E127" s="40"/>
      <c r="F127" s="42" t="s">
        <v>136</v>
      </c>
      <c r="G127" s="40"/>
      <c r="H127" s="40"/>
      <c r="I127" s="40"/>
      <c r="J127" s="40" t="s">
        <v>155</v>
      </c>
    </row>
    <row r="128" spans="1:10" x14ac:dyDescent="0.25">
      <c r="A128" s="38"/>
      <c r="B128" s="38"/>
      <c r="C128" s="40"/>
      <c r="D128" s="42" t="s">
        <v>137</v>
      </c>
      <c r="E128" s="40"/>
      <c r="F128" s="42" t="s">
        <v>137</v>
      </c>
      <c r="G128" s="40"/>
      <c r="H128" s="40"/>
      <c r="I128" s="40"/>
      <c r="J128" s="40" t="s">
        <v>155</v>
      </c>
    </row>
    <row r="129" spans="1:10" x14ac:dyDescent="0.25">
      <c r="A129" s="38"/>
      <c r="B129" s="38"/>
      <c r="C129" s="40"/>
      <c r="D129" s="42" t="s">
        <v>138</v>
      </c>
      <c r="E129" s="40"/>
      <c r="F129" s="42" t="s">
        <v>138</v>
      </c>
      <c r="G129" s="40"/>
      <c r="H129" s="40"/>
      <c r="I129" s="40"/>
      <c r="J129" s="40" t="s">
        <v>155</v>
      </c>
    </row>
    <row r="130" spans="1:10" x14ac:dyDescent="0.25">
      <c r="A130" s="38"/>
      <c r="B130" s="38"/>
      <c r="C130" s="40"/>
      <c r="D130" s="42" t="s">
        <v>139</v>
      </c>
      <c r="E130" s="40"/>
      <c r="F130" s="42" t="s">
        <v>139</v>
      </c>
      <c r="G130" s="40"/>
      <c r="H130" s="40"/>
      <c r="I130" s="40"/>
      <c r="J130" s="40" t="s">
        <v>155</v>
      </c>
    </row>
    <row r="131" spans="1:10" x14ac:dyDescent="0.25">
      <c r="A131" s="38"/>
      <c r="B131" s="38"/>
      <c r="C131" s="40"/>
      <c r="D131" s="41" t="s">
        <v>152</v>
      </c>
      <c r="E131" s="40"/>
      <c r="F131" s="41" t="s">
        <v>152</v>
      </c>
      <c r="G131" s="40"/>
      <c r="H131" s="40"/>
      <c r="I131" s="40"/>
      <c r="J131" s="40"/>
    </row>
    <row r="132" spans="1:10" x14ac:dyDescent="0.25">
      <c r="A132" s="38"/>
      <c r="B132" s="38"/>
      <c r="C132" s="40"/>
      <c r="D132" s="42" t="s">
        <v>140</v>
      </c>
      <c r="E132" s="40"/>
      <c r="F132" s="42" t="s">
        <v>140</v>
      </c>
      <c r="G132" s="40"/>
      <c r="H132" s="40"/>
      <c r="I132" s="40"/>
      <c r="J132" s="40" t="s">
        <v>155</v>
      </c>
    </row>
    <row r="133" spans="1:10" x14ac:dyDescent="0.25">
      <c r="A133" s="38"/>
      <c r="B133" s="38"/>
      <c r="C133" s="40"/>
      <c r="D133" s="42" t="s">
        <v>141</v>
      </c>
      <c r="E133" s="40"/>
      <c r="F133" s="42" t="s">
        <v>141</v>
      </c>
      <c r="G133" s="40"/>
      <c r="H133" s="40"/>
      <c r="I133" s="40"/>
      <c r="J133" s="40" t="s">
        <v>155</v>
      </c>
    </row>
    <row r="134" spans="1:10" x14ac:dyDescent="0.25">
      <c r="A134" s="38"/>
      <c r="B134" s="38"/>
      <c r="C134" s="40"/>
      <c r="D134" s="41" t="s">
        <v>153</v>
      </c>
      <c r="E134" s="40"/>
      <c r="F134" s="41" t="s">
        <v>183</v>
      </c>
      <c r="G134" s="40"/>
      <c r="H134" s="40"/>
      <c r="I134" s="40"/>
      <c r="J134" s="40"/>
    </row>
    <row r="135" spans="1:10" ht="31.5" x14ac:dyDescent="0.25">
      <c r="A135" s="38"/>
      <c r="B135" s="38"/>
      <c r="C135" s="40"/>
      <c r="D135" s="42" t="s">
        <v>80</v>
      </c>
      <c r="E135" s="40"/>
      <c r="F135" s="42" t="s">
        <v>184</v>
      </c>
      <c r="G135" s="40"/>
      <c r="H135" s="40"/>
      <c r="I135" s="40"/>
      <c r="J135" s="40" t="s">
        <v>155</v>
      </c>
    </row>
    <row r="136" spans="1:10" ht="47.25" x14ac:dyDescent="0.25">
      <c r="A136" s="38"/>
      <c r="B136" s="38"/>
      <c r="C136" s="40"/>
      <c r="D136" s="42" t="s">
        <v>81</v>
      </c>
      <c r="E136" s="40"/>
      <c r="F136" s="42" t="s">
        <v>185</v>
      </c>
      <c r="G136" s="40"/>
      <c r="H136" s="40"/>
      <c r="I136" s="40"/>
      <c r="J136" s="40" t="s">
        <v>155</v>
      </c>
    </row>
    <row r="137" spans="1:10" x14ac:dyDescent="0.25">
      <c r="A137" s="38"/>
      <c r="B137" s="38"/>
      <c r="C137" s="40"/>
      <c r="D137" s="42" t="s">
        <v>82</v>
      </c>
      <c r="E137" s="40"/>
      <c r="F137" s="42" t="s">
        <v>186</v>
      </c>
      <c r="G137" s="40"/>
      <c r="H137" s="40"/>
      <c r="I137" s="40"/>
      <c r="J137" s="40" t="s">
        <v>155</v>
      </c>
    </row>
    <row r="138" spans="1:10" ht="63" x14ac:dyDescent="0.25">
      <c r="A138" s="38"/>
      <c r="B138" s="38"/>
      <c r="C138" s="40"/>
      <c r="D138" s="42" t="s">
        <v>83</v>
      </c>
      <c r="E138" s="40"/>
      <c r="F138" s="42" t="s">
        <v>83</v>
      </c>
      <c r="G138" s="40"/>
      <c r="H138" s="40"/>
      <c r="I138" s="40"/>
      <c r="J138" s="40" t="s">
        <v>155</v>
      </c>
    </row>
    <row r="139" spans="1:10" ht="31.5" x14ac:dyDescent="0.25">
      <c r="A139" s="38"/>
      <c r="B139" s="38"/>
      <c r="C139" s="40"/>
      <c r="D139" s="42" t="s">
        <v>84</v>
      </c>
      <c r="E139" s="40"/>
      <c r="F139" s="42" t="s">
        <v>84</v>
      </c>
      <c r="G139" s="40"/>
      <c r="H139" s="40"/>
      <c r="I139" s="40"/>
      <c r="J139" s="40" t="s">
        <v>155</v>
      </c>
    </row>
    <row r="140" spans="1:10" ht="31.5" x14ac:dyDescent="0.25">
      <c r="A140" s="38"/>
      <c r="B140" s="38"/>
      <c r="C140" s="40"/>
      <c r="D140" s="42" t="s">
        <v>85</v>
      </c>
      <c r="E140" s="40"/>
      <c r="F140" s="42" t="s">
        <v>85</v>
      </c>
      <c r="G140" s="40"/>
      <c r="H140" s="40"/>
      <c r="I140" s="40"/>
      <c r="J140" s="40" t="s">
        <v>155</v>
      </c>
    </row>
    <row r="141" spans="1:10" ht="31.5" x14ac:dyDescent="0.25">
      <c r="A141" s="38"/>
      <c r="B141" s="38"/>
      <c r="C141" s="40"/>
      <c r="D141" s="42" t="s">
        <v>86</v>
      </c>
      <c r="E141" s="40"/>
      <c r="F141" s="42" t="s">
        <v>187</v>
      </c>
      <c r="G141" s="40"/>
      <c r="H141" s="40"/>
      <c r="I141" s="40"/>
      <c r="J141" s="40" t="s">
        <v>155</v>
      </c>
    </row>
    <row r="142" spans="1:10" ht="47.25" x14ac:dyDescent="0.25">
      <c r="A142" s="38"/>
      <c r="B142" s="38"/>
      <c r="C142" s="40"/>
      <c r="D142" s="42" t="s">
        <v>87</v>
      </c>
      <c r="E142" s="40"/>
      <c r="F142" s="42" t="s">
        <v>87</v>
      </c>
      <c r="G142" s="40"/>
      <c r="H142" s="40"/>
      <c r="I142" s="40"/>
      <c r="J142" s="40" t="s">
        <v>155</v>
      </c>
    </row>
    <row r="143" spans="1:10" ht="47.25" x14ac:dyDescent="0.25">
      <c r="A143" s="38"/>
      <c r="B143" s="38"/>
      <c r="C143" s="40"/>
      <c r="D143" s="42" t="s">
        <v>88</v>
      </c>
      <c r="E143" s="40"/>
      <c r="F143" s="42" t="s">
        <v>88</v>
      </c>
      <c r="G143" s="40"/>
      <c r="H143" s="40"/>
      <c r="I143" s="40"/>
      <c r="J143" s="40" t="s">
        <v>155</v>
      </c>
    </row>
    <row r="145" spans="6:10" x14ac:dyDescent="0.25">
      <c r="F145" s="78" t="s">
        <v>261</v>
      </c>
      <c r="G145" s="79"/>
      <c r="H145" s="79"/>
      <c r="I145" s="79"/>
      <c r="J145" s="79"/>
    </row>
  </sheetData>
  <mergeCells count="4">
    <mergeCell ref="A3:D3"/>
    <mergeCell ref="E3:J3"/>
    <mergeCell ref="A1:J1"/>
    <mergeCell ref="F145:J145"/>
  </mergeCells>
  <pageMargins left="0.7" right="0.45" top="0.5" bottom="0.5" header="0.3" footer="0.3"/>
  <pageSetup scale="6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3F7A-A5D8-4E5A-B9C6-CDBC3E7E2B48}">
  <sheetPr>
    <tabColor rgb="FF00B0F0"/>
  </sheetPr>
  <dimension ref="A1:C143"/>
  <sheetViews>
    <sheetView workbookViewId="0">
      <selection activeCell="A3" sqref="A3:B141"/>
    </sheetView>
  </sheetViews>
  <sheetFormatPr defaultRowHeight="16.5" x14ac:dyDescent="0.25"/>
  <cols>
    <col min="1" max="1" width="6.28515625" style="48" customWidth="1"/>
    <col min="2" max="2" width="85.140625" style="48" customWidth="1"/>
    <col min="3" max="16384" width="9.140625" style="48"/>
  </cols>
  <sheetData>
    <row r="1" spans="1:3" ht="33.75" customHeight="1" x14ac:dyDescent="0.25">
      <c r="A1" s="80" t="s">
        <v>262</v>
      </c>
      <c r="B1" s="80"/>
    </row>
    <row r="2" spans="1:3" x14ac:dyDescent="0.25">
      <c r="A2" s="58" t="s">
        <v>0</v>
      </c>
      <c r="B2" s="58" t="s">
        <v>263</v>
      </c>
    </row>
    <row r="3" spans="1:3" x14ac:dyDescent="0.25">
      <c r="A3" s="58"/>
      <c r="B3" s="53"/>
    </row>
    <row r="4" spans="1:3" x14ac:dyDescent="0.25">
      <c r="A4" s="59"/>
      <c r="B4" s="50"/>
      <c r="C4" s="49"/>
    </row>
    <row r="5" spans="1:3" x14ac:dyDescent="0.25">
      <c r="A5" s="59"/>
      <c r="B5" s="51"/>
      <c r="C5" s="49"/>
    </row>
    <row r="6" spans="1:3" x14ac:dyDescent="0.25">
      <c r="A6" s="59"/>
      <c r="B6" s="51"/>
      <c r="C6" s="49"/>
    </row>
    <row r="7" spans="1:3" x14ac:dyDescent="0.25">
      <c r="A7" s="59"/>
      <c r="B7" s="51"/>
      <c r="C7" s="49"/>
    </row>
    <row r="8" spans="1:3" x14ac:dyDescent="0.25">
      <c r="A8" s="59"/>
      <c r="B8" s="51"/>
      <c r="C8" s="49"/>
    </row>
    <row r="9" spans="1:3" x14ac:dyDescent="0.25">
      <c r="A9" s="59"/>
      <c r="B9" s="51"/>
      <c r="C9" s="49"/>
    </row>
    <row r="10" spans="1:3" x14ac:dyDescent="0.25">
      <c r="A10" s="59"/>
      <c r="B10" s="50"/>
      <c r="C10" s="49"/>
    </row>
    <row r="11" spans="1:3" x14ac:dyDescent="0.25">
      <c r="A11" s="59"/>
      <c r="B11" s="51"/>
      <c r="C11" s="49"/>
    </row>
    <row r="12" spans="1:3" x14ac:dyDescent="0.25">
      <c r="A12" s="59"/>
      <c r="B12" s="51"/>
      <c r="C12" s="49"/>
    </row>
    <row r="13" spans="1:3" x14ac:dyDescent="0.25">
      <c r="A13" s="59"/>
      <c r="B13" s="51"/>
      <c r="C13" s="49"/>
    </row>
    <row r="14" spans="1:3" x14ac:dyDescent="0.25">
      <c r="A14" s="59"/>
      <c r="B14" s="51"/>
      <c r="C14" s="49"/>
    </row>
    <row r="15" spans="1:3" x14ac:dyDescent="0.25">
      <c r="A15" s="59"/>
      <c r="B15" s="51"/>
      <c r="C15" s="49"/>
    </row>
    <row r="16" spans="1:3" x14ac:dyDescent="0.25">
      <c r="A16" s="59"/>
      <c r="B16" s="51"/>
    </row>
    <row r="17" spans="1:3" x14ac:dyDescent="0.25">
      <c r="A17" s="59"/>
      <c r="B17" s="51"/>
    </row>
    <row r="18" spans="1:3" x14ac:dyDescent="0.25">
      <c r="A18" s="59"/>
      <c r="B18" s="51"/>
    </row>
    <row r="19" spans="1:3" x14ac:dyDescent="0.25">
      <c r="A19" s="59"/>
      <c r="B19" s="54"/>
    </row>
    <row r="20" spans="1:3" x14ac:dyDescent="0.25">
      <c r="A20" s="59"/>
      <c r="B20" s="51"/>
    </row>
    <row r="21" spans="1:3" x14ac:dyDescent="0.25">
      <c r="A21" s="59"/>
      <c r="B21" s="50"/>
    </row>
    <row r="22" spans="1:3" x14ac:dyDescent="0.25">
      <c r="A22" s="59"/>
      <c r="B22" s="50"/>
    </row>
    <row r="23" spans="1:3" x14ac:dyDescent="0.25">
      <c r="A23" s="59"/>
      <c r="B23" s="50"/>
      <c r="C23" s="49"/>
    </row>
    <row r="24" spans="1:3" x14ac:dyDescent="0.25">
      <c r="A24" s="59"/>
      <c r="B24" s="51"/>
      <c r="C24" s="49"/>
    </row>
    <row r="25" spans="1:3" x14ac:dyDescent="0.25">
      <c r="A25" s="59"/>
      <c r="B25" s="51"/>
      <c r="C25" s="49"/>
    </row>
    <row r="26" spans="1:3" x14ac:dyDescent="0.25">
      <c r="A26" s="59"/>
      <c r="B26" s="51"/>
      <c r="C26" s="49"/>
    </row>
    <row r="27" spans="1:3" x14ac:dyDescent="0.25">
      <c r="A27" s="59"/>
      <c r="B27" s="50"/>
      <c r="C27" s="49"/>
    </row>
    <row r="28" spans="1:3" x14ac:dyDescent="0.25">
      <c r="A28" s="59"/>
      <c r="B28" s="51"/>
      <c r="C28" s="49"/>
    </row>
    <row r="29" spans="1:3" x14ac:dyDescent="0.25">
      <c r="A29" s="59"/>
      <c r="B29" s="51"/>
      <c r="C29" s="49"/>
    </row>
    <row r="30" spans="1:3" x14ac:dyDescent="0.25">
      <c r="A30" s="59"/>
      <c r="B30" s="51"/>
      <c r="C30" s="49"/>
    </row>
    <row r="31" spans="1:3" x14ac:dyDescent="0.25">
      <c r="A31" s="59"/>
      <c r="B31" s="50"/>
      <c r="C31" s="49"/>
    </row>
    <row r="32" spans="1:3" x14ac:dyDescent="0.25">
      <c r="A32" s="59"/>
      <c r="B32" s="51"/>
      <c r="C32" s="49"/>
    </row>
    <row r="33" spans="1:3" x14ac:dyDescent="0.25">
      <c r="A33" s="59"/>
      <c r="B33" s="51"/>
      <c r="C33" s="49"/>
    </row>
    <row r="34" spans="1:3" x14ac:dyDescent="0.25">
      <c r="A34" s="59"/>
      <c r="B34" s="51"/>
      <c r="C34" s="49"/>
    </row>
    <row r="35" spans="1:3" x14ac:dyDescent="0.25">
      <c r="A35" s="59"/>
      <c r="B35" s="50"/>
      <c r="C35" s="49"/>
    </row>
    <row r="36" spans="1:3" x14ac:dyDescent="0.25">
      <c r="A36" s="59"/>
      <c r="B36" s="51"/>
      <c r="C36" s="49"/>
    </row>
    <row r="37" spans="1:3" x14ac:dyDescent="0.25">
      <c r="A37" s="59"/>
      <c r="B37" s="51"/>
      <c r="C37" s="49"/>
    </row>
    <row r="38" spans="1:3" x14ac:dyDescent="0.25">
      <c r="A38" s="59"/>
      <c r="B38" s="51"/>
      <c r="C38" s="49"/>
    </row>
    <row r="39" spans="1:3" x14ac:dyDescent="0.25">
      <c r="A39" s="59"/>
      <c r="B39" s="51"/>
      <c r="C39" s="49"/>
    </row>
    <row r="40" spans="1:3" x14ac:dyDescent="0.25">
      <c r="A40" s="59"/>
      <c r="B40" s="51"/>
      <c r="C40" s="49"/>
    </row>
    <row r="41" spans="1:3" x14ac:dyDescent="0.25">
      <c r="A41" s="59"/>
      <c r="B41" s="51"/>
      <c r="C41" s="49"/>
    </row>
    <row r="42" spans="1:3" x14ac:dyDescent="0.25">
      <c r="A42" s="59"/>
      <c r="B42" s="50"/>
      <c r="C42" s="49"/>
    </row>
    <row r="43" spans="1:3" x14ac:dyDescent="0.25">
      <c r="A43" s="59"/>
      <c r="B43" s="51"/>
      <c r="C43" s="49"/>
    </row>
    <row r="44" spans="1:3" x14ac:dyDescent="0.25">
      <c r="A44" s="59"/>
      <c r="B44" s="51"/>
      <c r="C44" s="49"/>
    </row>
    <row r="45" spans="1:3" x14ac:dyDescent="0.25">
      <c r="A45" s="59"/>
      <c r="B45" s="51"/>
      <c r="C45" s="49"/>
    </row>
    <row r="46" spans="1:3" x14ac:dyDescent="0.25">
      <c r="A46" s="59"/>
      <c r="B46" s="50"/>
      <c r="C46" s="49"/>
    </row>
    <row r="47" spans="1:3" x14ac:dyDescent="0.25">
      <c r="A47" s="59"/>
      <c r="B47" s="51"/>
      <c r="C47" s="49"/>
    </row>
    <row r="48" spans="1:3" x14ac:dyDescent="0.25">
      <c r="A48" s="59"/>
      <c r="B48" s="55"/>
      <c r="C48" s="49"/>
    </row>
    <row r="49" spans="1:3" x14ac:dyDescent="0.25">
      <c r="A49" s="59"/>
      <c r="B49" s="56"/>
      <c r="C49" s="49"/>
    </row>
    <row r="50" spans="1:3" x14ac:dyDescent="0.25">
      <c r="A50" s="59"/>
      <c r="B50" s="51"/>
      <c r="C50" s="49"/>
    </row>
    <row r="51" spans="1:3" x14ac:dyDescent="0.25">
      <c r="A51" s="59"/>
      <c r="B51" s="51"/>
      <c r="C51" s="49"/>
    </row>
    <row r="52" spans="1:3" x14ac:dyDescent="0.25">
      <c r="A52" s="59"/>
      <c r="B52" s="57"/>
      <c r="C52" s="49"/>
    </row>
    <row r="53" spans="1:3" x14ac:dyDescent="0.25">
      <c r="A53" s="59"/>
      <c r="B53" s="57"/>
      <c r="C53" s="49"/>
    </row>
    <row r="54" spans="1:3" x14ac:dyDescent="0.25">
      <c r="A54" s="59"/>
      <c r="B54" s="51"/>
      <c r="C54" s="49"/>
    </row>
    <row r="55" spans="1:3" x14ac:dyDescent="0.25">
      <c r="A55" s="59"/>
      <c r="B55" s="51"/>
      <c r="C55" s="49"/>
    </row>
    <row r="56" spans="1:3" x14ac:dyDescent="0.25">
      <c r="A56" s="59"/>
      <c r="B56" s="57"/>
      <c r="C56" s="49"/>
    </row>
    <row r="57" spans="1:3" x14ac:dyDescent="0.25">
      <c r="A57" s="59"/>
      <c r="B57" s="50"/>
      <c r="C57" s="49"/>
    </row>
    <row r="58" spans="1:3" x14ac:dyDescent="0.25">
      <c r="A58" s="59"/>
      <c r="B58" s="51"/>
      <c r="C58" s="49"/>
    </row>
    <row r="59" spans="1:3" x14ac:dyDescent="0.25">
      <c r="A59" s="59"/>
      <c r="B59" s="51"/>
      <c r="C59" s="49"/>
    </row>
    <row r="60" spans="1:3" x14ac:dyDescent="0.25">
      <c r="A60" s="59"/>
      <c r="B60" s="51"/>
      <c r="C60" s="49"/>
    </row>
    <row r="61" spans="1:3" x14ac:dyDescent="0.25">
      <c r="A61" s="59"/>
      <c r="B61" s="51"/>
      <c r="C61" s="49"/>
    </row>
    <row r="62" spans="1:3" x14ac:dyDescent="0.25">
      <c r="A62" s="59"/>
      <c r="B62" s="51"/>
      <c r="C62" s="49"/>
    </row>
    <row r="63" spans="1:3" x14ac:dyDescent="0.25">
      <c r="A63" s="59"/>
      <c r="B63" s="51"/>
      <c r="C63" s="49"/>
    </row>
    <row r="64" spans="1:3" x14ac:dyDescent="0.25">
      <c r="A64" s="59"/>
      <c r="B64" s="51"/>
      <c r="C64" s="49"/>
    </row>
    <row r="65" spans="1:3" x14ac:dyDescent="0.25">
      <c r="A65" s="59"/>
      <c r="B65" s="51"/>
      <c r="C65" s="49"/>
    </row>
    <row r="66" spans="1:3" x14ac:dyDescent="0.25">
      <c r="A66" s="59"/>
      <c r="B66" s="51"/>
      <c r="C66" s="49"/>
    </row>
    <row r="67" spans="1:3" x14ac:dyDescent="0.25">
      <c r="A67" s="58"/>
      <c r="B67" s="53"/>
    </row>
    <row r="68" spans="1:3" x14ac:dyDescent="0.25">
      <c r="A68" s="59"/>
      <c r="B68" s="50"/>
    </row>
    <row r="69" spans="1:3" x14ac:dyDescent="0.25">
      <c r="A69" s="59"/>
      <c r="B69" s="51"/>
    </row>
    <row r="70" spans="1:3" x14ac:dyDescent="0.25">
      <c r="A70" s="59"/>
      <c r="B70" s="51"/>
    </row>
    <row r="71" spans="1:3" x14ac:dyDescent="0.25">
      <c r="A71" s="59"/>
      <c r="B71" s="51"/>
    </row>
    <row r="72" spans="1:3" x14ac:dyDescent="0.25">
      <c r="A72" s="59"/>
      <c r="B72" s="51"/>
    </row>
    <row r="73" spans="1:3" x14ac:dyDescent="0.25">
      <c r="A73" s="59"/>
      <c r="B73" s="51"/>
    </row>
    <row r="74" spans="1:3" x14ac:dyDescent="0.25">
      <c r="A74" s="59"/>
      <c r="B74" s="50"/>
    </row>
    <row r="75" spans="1:3" x14ac:dyDescent="0.25">
      <c r="A75" s="59"/>
      <c r="B75" s="51"/>
    </row>
    <row r="76" spans="1:3" x14ac:dyDescent="0.25">
      <c r="A76" s="59"/>
      <c r="B76" s="51"/>
    </row>
    <row r="77" spans="1:3" x14ac:dyDescent="0.25">
      <c r="A77" s="59"/>
      <c r="B77" s="51"/>
    </row>
    <row r="78" spans="1:3" x14ac:dyDescent="0.25">
      <c r="A78" s="59"/>
      <c r="B78" s="51"/>
    </row>
    <row r="79" spans="1:3" x14ac:dyDescent="0.25">
      <c r="A79" s="59"/>
      <c r="B79" s="51"/>
    </row>
    <row r="80" spans="1:3" x14ac:dyDescent="0.25">
      <c r="A80" s="59"/>
      <c r="B80" s="51"/>
    </row>
    <row r="81" spans="1:2" x14ac:dyDescent="0.25">
      <c r="A81" s="59"/>
      <c r="B81" s="51"/>
    </row>
    <row r="82" spans="1:2" x14ac:dyDescent="0.25">
      <c r="A82" s="59"/>
      <c r="B82" s="51"/>
    </row>
    <row r="83" spans="1:2" x14ac:dyDescent="0.25">
      <c r="A83" s="59"/>
      <c r="B83" s="51"/>
    </row>
    <row r="84" spans="1:2" x14ac:dyDescent="0.25">
      <c r="A84" s="59"/>
      <c r="B84" s="51"/>
    </row>
    <row r="85" spans="1:2" x14ac:dyDescent="0.25">
      <c r="A85" s="59"/>
      <c r="B85" s="51"/>
    </row>
    <row r="86" spans="1:2" x14ac:dyDescent="0.25">
      <c r="A86" s="59"/>
      <c r="B86" s="51"/>
    </row>
    <row r="87" spans="1:2" x14ac:dyDescent="0.25">
      <c r="A87" s="59"/>
      <c r="B87" s="51"/>
    </row>
    <row r="88" spans="1:2" x14ac:dyDescent="0.25">
      <c r="A88" s="59"/>
      <c r="B88" s="51"/>
    </row>
    <row r="89" spans="1:2" x14ac:dyDescent="0.25">
      <c r="A89" s="59"/>
      <c r="B89" s="51"/>
    </row>
    <row r="90" spans="1:2" x14ac:dyDescent="0.25">
      <c r="A90" s="59"/>
      <c r="B90" s="51"/>
    </row>
    <row r="91" spans="1:2" x14ac:dyDescent="0.25">
      <c r="A91" s="59"/>
      <c r="B91" s="50"/>
    </row>
    <row r="92" spans="1:2" x14ac:dyDescent="0.25">
      <c r="A92" s="59"/>
      <c r="B92" s="50"/>
    </row>
    <row r="93" spans="1:2" x14ac:dyDescent="0.25">
      <c r="A93" s="59"/>
      <c r="B93" s="51"/>
    </row>
    <row r="94" spans="1:2" x14ac:dyDescent="0.25">
      <c r="A94" s="59"/>
      <c r="B94" s="51"/>
    </row>
    <row r="95" spans="1:2" x14ac:dyDescent="0.25">
      <c r="A95" s="59"/>
      <c r="B95" s="51"/>
    </row>
    <row r="96" spans="1:2" x14ac:dyDescent="0.25">
      <c r="A96" s="59"/>
      <c r="B96" s="51"/>
    </row>
    <row r="97" spans="1:2" x14ac:dyDescent="0.25">
      <c r="A97" s="59"/>
      <c r="B97" s="51"/>
    </row>
    <row r="98" spans="1:2" x14ac:dyDescent="0.25">
      <c r="A98" s="59"/>
      <c r="B98" s="51"/>
    </row>
    <row r="99" spans="1:2" x14ac:dyDescent="0.25">
      <c r="A99" s="59"/>
      <c r="B99" s="51"/>
    </row>
    <row r="100" spans="1:2" x14ac:dyDescent="0.25">
      <c r="A100" s="59"/>
      <c r="B100" s="51"/>
    </row>
    <row r="101" spans="1:2" x14ac:dyDescent="0.25">
      <c r="A101" s="59"/>
      <c r="B101" s="51"/>
    </row>
    <row r="102" spans="1:2" x14ac:dyDescent="0.25">
      <c r="A102" s="59"/>
      <c r="B102" s="51"/>
    </row>
    <row r="103" spans="1:2" x14ac:dyDescent="0.25">
      <c r="A103" s="59"/>
      <c r="B103" s="51"/>
    </row>
    <row r="104" spans="1:2" x14ac:dyDescent="0.25">
      <c r="A104" s="59"/>
      <c r="B104" s="51"/>
    </row>
    <row r="105" spans="1:2" x14ac:dyDescent="0.25">
      <c r="A105" s="59"/>
      <c r="B105" s="51"/>
    </row>
    <row r="106" spans="1:2" x14ac:dyDescent="0.25">
      <c r="A106" s="59"/>
      <c r="B106" s="51"/>
    </row>
    <row r="107" spans="1:2" x14ac:dyDescent="0.25">
      <c r="A107" s="59"/>
      <c r="B107" s="51"/>
    </row>
    <row r="108" spans="1:2" x14ac:dyDescent="0.25">
      <c r="A108" s="59"/>
      <c r="B108" s="51"/>
    </row>
    <row r="109" spans="1:2" x14ac:dyDescent="0.25">
      <c r="A109" s="59"/>
      <c r="B109" s="51"/>
    </row>
    <row r="110" spans="1:2" x14ac:dyDescent="0.25">
      <c r="A110" s="59"/>
      <c r="B110" s="51"/>
    </row>
    <row r="111" spans="1:2" x14ac:dyDescent="0.25">
      <c r="A111" s="59"/>
      <c r="B111" s="51"/>
    </row>
    <row r="112" spans="1:2" x14ac:dyDescent="0.25">
      <c r="A112" s="59"/>
      <c r="B112" s="51"/>
    </row>
    <row r="113" spans="1:2" x14ac:dyDescent="0.25">
      <c r="A113" s="59"/>
      <c r="B113" s="50"/>
    </row>
    <row r="114" spans="1:2" x14ac:dyDescent="0.25">
      <c r="A114" s="59"/>
      <c r="B114" s="50"/>
    </row>
    <row r="115" spans="1:2" x14ac:dyDescent="0.25">
      <c r="A115" s="59"/>
      <c r="B115" s="52"/>
    </row>
    <row r="116" spans="1:2" x14ac:dyDescent="0.25">
      <c r="A116" s="59"/>
      <c r="B116" s="52"/>
    </row>
    <row r="117" spans="1:2" x14ac:dyDescent="0.25">
      <c r="A117" s="59"/>
      <c r="B117" s="50"/>
    </row>
    <row r="118" spans="1:2" x14ac:dyDescent="0.25">
      <c r="A118" s="59"/>
      <c r="B118" s="51"/>
    </row>
    <row r="119" spans="1:2" x14ac:dyDescent="0.25">
      <c r="A119" s="59"/>
      <c r="B119" s="51"/>
    </row>
    <row r="120" spans="1:2" x14ac:dyDescent="0.25">
      <c r="A120" s="59"/>
      <c r="B120" s="50"/>
    </row>
    <row r="121" spans="1:2" x14ac:dyDescent="0.25">
      <c r="A121" s="59"/>
      <c r="B121" s="51"/>
    </row>
    <row r="122" spans="1:2" x14ac:dyDescent="0.25">
      <c r="A122" s="59"/>
      <c r="B122" s="50"/>
    </row>
    <row r="123" spans="1:2" x14ac:dyDescent="0.25">
      <c r="A123" s="59"/>
      <c r="B123" s="51"/>
    </row>
    <row r="124" spans="1:2" x14ac:dyDescent="0.25">
      <c r="A124" s="59"/>
      <c r="B124" s="51"/>
    </row>
    <row r="125" spans="1:2" x14ac:dyDescent="0.25">
      <c r="A125" s="59"/>
      <c r="B125" s="51"/>
    </row>
    <row r="126" spans="1:2" x14ac:dyDescent="0.25">
      <c r="A126" s="59"/>
      <c r="B126" s="51"/>
    </row>
    <row r="127" spans="1:2" x14ac:dyDescent="0.25">
      <c r="A127" s="59"/>
      <c r="B127" s="51"/>
    </row>
    <row r="128" spans="1:2" x14ac:dyDescent="0.25">
      <c r="A128" s="59"/>
      <c r="B128" s="51"/>
    </row>
    <row r="129" spans="1:2" x14ac:dyDescent="0.25">
      <c r="A129" s="59"/>
      <c r="B129" s="50"/>
    </row>
    <row r="130" spans="1:2" x14ac:dyDescent="0.25">
      <c r="A130" s="59"/>
      <c r="B130" s="51"/>
    </row>
    <row r="131" spans="1:2" x14ac:dyDescent="0.25">
      <c r="A131" s="59"/>
      <c r="B131" s="51"/>
    </row>
    <row r="132" spans="1:2" x14ac:dyDescent="0.25">
      <c r="A132" s="59"/>
      <c r="B132" s="41"/>
    </row>
    <row r="133" spans="1:2" x14ac:dyDescent="0.25">
      <c r="A133" s="59"/>
      <c r="B133" s="51"/>
    </row>
    <row r="134" spans="1:2" x14ac:dyDescent="0.25">
      <c r="A134" s="59"/>
      <c r="B134" s="51"/>
    </row>
    <row r="135" spans="1:2" x14ac:dyDescent="0.25">
      <c r="A135" s="59"/>
      <c r="B135" s="51"/>
    </row>
    <row r="136" spans="1:2" x14ac:dyDescent="0.25">
      <c r="A136" s="59"/>
      <c r="B136" s="51"/>
    </row>
    <row r="137" spans="1:2" x14ac:dyDescent="0.25">
      <c r="A137" s="59"/>
      <c r="B137" s="51"/>
    </row>
    <row r="138" spans="1:2" x14ac:dyDescent="0.25">
      <c r="A138" s="59"/>
      <c r="B138" s="51"/>
    </row>
    <row r="139" spans="1:2" x14ac:dyDescent="0.25">
      <c r="A139" s="59"/>
      <c r="B139" s="51"/>
    </row>
    <row r="140" spans="1:2" x14ac:dyDescent="0.25">
      <c r="A140" s="59"/>
      <c r="B140" s="51"/>
    </row>
    <row r="141" spans="1:2" x14ac:dyDescent="0.25">
      <c r="A141" s="59"/>
      <c r="B141" s="51"/>
    </row>
    <row r="143" spans="1:2" x14ac:dyDescent="0.25">
      <c r="B143" s="60" t="s">
        <v>264</v>
      </c>
    </row>
  </sheetData>
  <mergeCells count="1">
    <mergeCell ref="A1:B1"/>
  </mergeCells>
  <pageMargins left="0.7" right="0.45" top="0.5" bottom="0.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Phụ lục I Báo giá</vt:lpstr>
      <vt:lpstr>Bảng dữ liệu</vt:lpstr>
      <vt:lpstr>Phụ lục II Báo giá bảo hành</vt:lpstr>
      <vt:lpstr>Phụ lục III Bảng ĐUKT</vt:lpstr>
      <vt:lpstr>Phụ lục IV Kê khai TSKT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Đức Phan</cp:lastModifiedBy>
  <cp:lastPrinted>2026-07-27T06:52:25Z</cp:lastPrinted>
  <dcterms:created xsi:type="dcterms:W3CDTF">2023-09-28T08:24:49Z</dcterms:created>
  <dcterms:modified xsi:type="dcterms:W3CDTF">2026-08-18T09:22:05Z</dcterms:modified>
</cp:coreProperties>
</file>